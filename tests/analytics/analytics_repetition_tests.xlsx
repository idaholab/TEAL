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sotogj\projects\TEAL\tests\analytics\"/>
    </mc:Choice>
  </mc:AlternateContent>
  <xr:revisionPtr revIDLastSave="0" documentId="13_ncr:1_{809BBF6C-DE69-4C81-8274-0084C818A4AD}" xr6:coauthVersionLast="47" xr6:coauthVersionMax="47" xr10:uidLastSave="{00000000-0000-0000-0000-000000000000}"/>
  <bookViews>
    <workbookView xWindow="-120" yWindow="-120" windowWidth="38640" windowHeight="21240" xr2:uid="{2115BB6B-5C9A-4BA5-86D7-BF933E16E53E}"/>
  </bookViews>
  <sheets>
    <sheet name="Analyzing Repetitions Test"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76" i="2" l="1"/>
  <c r="AT78" i="2"/>
  <c r="AS78" i="2"/>
  <c r="AR78" i="2"/>
  <c r="AQ78" i="2"/>
  <c r="AP78" i="2"/>
  <c r="AO78" i="2"/>
  <c r="AN78" i="2"/>
  <c r="AM78" i="2"/>
  <c r="AL78" i="2"/>
  <c r="AK78" i="2"/>
  <c r="AJ78" i="2"/>
  <c r="AI78" i="2"/>
  <c r="AH78" i="2"/>
  <c r="AG78" i="2"/>
  <c r="AF78" i="2"/>
  <c r="AE78" i="2"/>
  <c r="AD78" i="2"/>
  <c r="AC78" i="2"/>
  <c r="AB78" i="2"/>
  <c r="AA78" i="2"/>
  <c r="Z78" i="2"/>
  <c r="Y78" i="2"/>
  <c r="X78" i="2"/>
  <c r="W78" i="2"/>
  <c r="V78" i="2"/>
  <c r="U78" i="2"/>
  <c r="T78" i="2"/>
  <c r="S78" i="2"/>
  <c r="R78" i="2"/>
  <c r="Q78" i="2"/>
  <c r="P78" i="2"/>
  <c r="AV78" i="2" s="1"/>
  <c r="AT77" i="2"/>
  <c r="AS77" i="2"/>
  <c r="AR77" i="2"/>
  <c r="AQ77" i="2"/>
  <c r="AP77" i="2"/>
  <c r="AO77" i="2"/>
  <c r="AN77" i="2"/>
  <c r="AM77" i="2"/>
  <c r="AL77" i="2"/>
  <c r="AK77" i="2"/>
  <c r="AJ77" i="2"/>
  <c r="AI77" i="2"/>
  <c r="AH77" i="2"/>
  <c r="AG77" i="2"/>
  <c r="AF77" i="2"/>
  <c r="AE77" i="2"/>
  <c r="AD77" i="2"/>
  <c r="AC77" i="2"/>
  <c r="AB77" i="2"/>
  <c r="AA77" i="2"/>
  <c r="Z77" i="2"/>
  <c r="Y77" i="2"/>
  <c r="X77" i="2"/>
  <c r="W77" i="2"/>
  <c r="V77" i="2"/>
  <c r="AV77" i="2" s="1"/>
  <c r="U77" i="2"/>
  <c r="T77" i="2"/>
  <c r="S77" i="2"/>
  <c r="R77" i="2"/>
  <c r="Q77" i="2"/>
  <c r="P77" i="2"/>
  <c r="AT76" i="2"/>
  <c r="AS76" i="2"/>
  <c r="AR76" i="2"/>
  <c r="AQ76" i="2"/>
  <c r="AP76" i="2"/>
  <c r="AO76" i="2"/>
  <c r="AN76" i="2"/>
  <c r="AM76" i="2"/>
  <c r="AL76" i="2"/>
  <c r="AK76" i="2"/>
  <c r="AJ76" i="2"/>
  <c r="AI76" i="2"/>
  <c r="AH76" i="2"/>
  <c r="AG76" i="2"/>
  <c r="AF76" i="2"/>
  <c r="AE76" i="2"/>
  <c r="AD76" i="2"/>
  <c r="AC76" i="2"/>
  <c r="AB76" i="2"/>
  <c r="AA76" i="2"/>
  <c r="Z76" i="2"/>
  <c r="Y76" i="2"/>
  <c r="X76" i="2"/>
  <c r="W76" i="2"/>
  <c r="V76" i="2"/>
  <c r="U76" i="2"/>
  <c r="T76" i="2"/>
  <c r="R76" i="2"/>
  <c r="Q76" i="2"/>
  <c r="P76" i="2"/>
  <c r="S59" i="2"/>
  <c r="T59" i="2"/>
  <c r="U59" i="2"/>
  <c r="V59" i="2"/>
  <c r="W59" i="2"/>
  <c r="X59" i="2"/>
  <c r="Y59" i="2"/>
  <c r="Z59" i="2"/>
  <c r="AA59" i="2"/>
  <c r="AB59" i="2"/>
  <c r="AC59" i="2"/>
  <c r="AD59" i="2"/>
  <c r="AE59" i="2"/>
  <c r="AF59" i="2"/>
  <c r="AG59" i="2"/>
  <c r="AH59" i="2"/>
  <c r="AI59" i="2"/>
  <c r="AJ59" i="2"/>
  <c r="AK59" i="2"/>
  <c r="AL59" i="2"/>
  <c r="AM59" i="2"/>
  <c r="AN59" i="2"/>
  <c r="AO59" i="2"/>
  <c r="AP59" i="2"/>
  <c r="AQ59" i="2"/>
  <c r="AR59" i="2"/>
  <c r="AS59" i="2"/>
  <c r="AT59" i="2"/>
  <c r="S60" i="2"/>
  <c r="T60" i="2"/>
  <c r="U60" i="2"/>
  <c r="V60" i="2"/>
  <c r="W60" i="2"/>
  <c r="X60" i="2"/>
  <c r="Y60" i="2"/>
  <c r="Z60" i="2"/>
  <c r="AA60" i="2"/>
  <c r="AB60" i="2"/>
  <c r="AC60" i="2"/>
  <c r="AD60" i="2"/>
  <c r="AE60" i="2"/>
  <c r="AF60" i="2"/>
  <c r="AG60" i="2"/>
  <c r="AH60" i="2"/>
  <c r="AI60" i="2"/>
  <c r="AJ60" i="2"/>
  <c r="AK60" i="2"/>
  <c r="AL60" i="2"/>
  <c r="AM60" i="2"/>
  <c r="AN60" i="2"/>
  <c r="AO60" i="2"/>
  <c r="AP60" i="2"/>
  <c r="AQ60" i="2"/>
  <c r="AR60" i="2"/>
  <c r="AS60" i="2"/>
  <c r="AT60" i="2"/>
  <c r="S61" i="2"/>
  <c r="T61" i="2"/>
  <c r="U61" i="2"/>
  <c r="V61" i="2"/>
  <c r="W61" i="2"/>
  <c r="X61" i="2"/>
  <c r="Y61" i="2"/>
  <c r="Z61" i="2"/>
  <c r="AA61" i="2"/>
  <c r="AB61" i="2"/>
  <c r="AC61" i="2"/>
  <c r="AD61" i="2"/>
  <c r="AE61" i="2"/>
  <c r="AF61" i="2"/>
  <c r="AG61" i="2"/>
  <c r="AH61" i="2"/>
  <c r="AI61" i="2"/>
  <c r="AJ61" i="2"/>
  <c r="AK61" i="2"/>
  <c r="AL61" i="2"/>
  <c r="AM61" i="2"/>
  <c r="AN61" i="2"/>
  <c r="AO61" i="2"/>
  <c r="AP61" i="2"/>
  <c r="AQ61" i="2"/>
  <c r="AR61" i="2"/>
  <c r="AS61" i="2"/>
  <c r="AT61" i="2"/>
  <c r="P59" i="2"/>
  <c r="Q59" i="2"/>
  <c r="P60" i="2"/>
  <c r="Q60" i="2"/>
  <c r="P61" i="2"/>
  <c r="Q61" i="2"/>
  <c r="R61" i="2"/>
  <c r="R60" i="2"/>
  <c r="R59" i="2"/>
  <c r="AT72" i="2"/>
  <c r="AS72" i="2"/>
  <c r="AR72" i="2"/>
  <c r="AQ72" i="2"/>
  <c r="AP72" i="2"/>
  <c r="AO72" i="2"/>
  <c r="AN72" i="2"/>
  <c r="AM72" i="2"/>
  <c r="AL72" i="2"/>
  <c r="AK72" i="2"/>
  <c r="AJ72" i="2"/>
  <c r="AI72" i="2"/>
  <c r="AH72" i="2"/>
  <c r="AG72" i="2"/>
  <c r="AF72" i="2"/>
  <c r="AE72" i="2"/>
  <c r="AD72" i="2"/>
  <c r="AC72" i="2"/>
  <c r="AB72" i="2"/>
  <c r="AA72" i="2"/>
  <c r="Z72" i="2"/>
  <c r="Y72" i="2"/>
  <c r="X72" i="2"/>
  <c r="W72" i="2"/>
  <c r="V72" i="2"/>
  <c r="U72" i="2"/>
  <c r="T72" i="2"/>
  <c r="S72" i="2"/>
  <c r="R72" i="2"/>
  <c r="Q72" i="2"/>
  <c r="P72" i="2"/>
  <c r="AT71" i="2"/>
  <c r="AS71" i="2"/>
  <c r="AR71" i="2"/>
  <c r="AQ71" i="2"/>
  <c r="AP71" i="2"/>
  <c r="AO71" i="2"/>
  <c r="AN71" i="2"/>
  <c r="AM71" i="2"/>
  <c r="AL71" i="2"/>
  <c r="AK71" i="2"/>
  <c r="AJ71" i="2"/>
  <c r="AI71" i="2"/>
  <c r="AH71" i="2"/>
  <c r="AG71" i="2"/>
  <c r="AF71" i="2"/>
  <c r="AE71" i="2"/>
  <c r="AD71" i="2"/>
  <c r="AC71" i="2"/>
  <c r="AB71" i="2"/>
  <c r="AA71" i="2"/>
  <c r="Z71" i="2"/>
  <c r="Y71" i="2"/>
  <c r="X71" i="2"/>
  <c r="W71" i="2"/>
  <c r="V71" i="2"/>
  <c r="U71" i="2"/>
  <c r="T71" i="2"/>
  <c r="S71" i="2"/>
  <c r="R71" i="2"/>
  <c r="Q71" i="2"/>
  <c r="P71" i="2"/>
  <c r="AT70" i="2"/>
  <c r="AS70" i="2"/>
  <c r="AR70" i="2"/>
  <c r="AQ70" i="2"/>
  <c r="AP70" i="2"/>
  <c r="AO70" i="2"/>
  <c r="AN70" i="2"/>
  <c r="AM70" i="2"/>
  <c r="AL70" i="2"/>
  <c r="AK70" i="2"/>
  <c r="AJ70" i="2"/>
  <c r="AI70" i="2"/>
  <c r="AH70" i="2"/>
  <c r="AG70" i="2"/>
  <c r="AF70" i="2"/>
  <c r="AE70" i="2"/>
  <c r="AD70" i="2"/>
  <c r="AC70" i="2"/>
  <c r="AB70" i="2"/>
  <c r="AA70" i="2"/>
  <c r="Z70" i="2"/>
  <c r="Y70" i="2"/>
  <c r="X70" i="2"/>
  <c r="W70" i="2"/>
  <c r="V70" i="2"/>
  <c r="U70" i="2"/>
  <c r="AV70" i="2" s="1"/>
  <c r="T70" i="2"/>
  <c r="S70" i="2"/>
  <c r="R70" i="2"/>
  <c r="Q70" i="2"/>
  <c r="P70" i="2"/>
  <c r="S53" i="2"/>
  <c r="T53" i="2"/>
  <c r="U53" i="2"/>
  <c r="V53" i="2"/>
  <c r="W53" i="2"/>
  <c r="X53" i="2"/>
  <c r="Y53" i="2"/>
  <c r="Z53" i="2"/>
  <c r="AA53" i="2"/>
  <c r="AB53" i="2"/>
  <c r="AC53" i="2"/>
  <c r="AD53" i="2"/>
  <c r="AE53" i="2"/>
  <c r="AF53" i="2"/>
  <c r="AG53" i="2"/>
  <c r="AH53" i="2"/>
  <c r="AI53" i="2"/>
  <c r="AJ53" i="2"/>
  <c r="AK53" i="2"/>
  <c r="AL53" i="2"/>
  <c r="AM53" i="2"/>
  <c r="AN53" i="2"/>
  <c r="AO53" i="2"/>
  <c r="AP53" i="2"/>
  <c r="AQ53" i="2"/>
  <c r="AR53" i="2"/>
  <c r="AS53" i="2"/>
  <c r="AT53" i="2"/>
  <c r="S54" i="2"/>
  <c r="T54" i="2"/>
  <c r="U54" i="2"/>
  <c r="V54" i="2"/>
  <c r="W54" i="2"/>
  <c r="X54" i="2"/>
  <c r="Y54" i="2"/>
  <c r="Z54" i="2"/>
  <c r="AA54" i="2"/>
  <c r="AB54" i="2"/>
  <c r="AC54" i="2"/>
  <c r="AD54" i="2"/>
  <c r="AE54" i="2"/>
  <c r="AF54" i="2"/>
  <c r="AG54" i="2"/>
  <c r="AH54" i="2"/>
  <c r="AI54" i="2"/>
  <c r="AJ54" i="2"/>
  <c r="AK54" i="2"/>
  <c r="AL54" i="2"/>
  <c r="AM54" i="2"/>
  <c r="AN54" i="2"/>
  <c r="AO54" i="2"/>
  <c r="AP54" i="2"/>
  <c r="AQ54" i="2"/>
  <c r="AR54" i="2"/>
  <c r="AS54" i="2"/>
  <c r="AT54" i="2"/>
  <c r="S55" i="2"/>
  <c r="T55" i="2"/>
  <c r="U55" i="2"/>
  <c r="V55" i="2"/>
  <c r="W55" i="2"/>
  <c r="X55" i="2"/>
  <c r="Y55" i="2"/>
  <c r="Z55" i="2"/>
  <c r="AA55" i="2"/>
  <c r="AB55" i="2"/>
  <c r="AC55" i="2"/>
  <c r="AD55" i="2"/>
  <c r="AE55" i="2"/>
  <c r="AF55" i="2"/>
  <c r="AG55" i="2"/>
  <c r="AH55" i="2"/>
  <c r="AI55" i="2"/>
  <c r="AJ55" i="2"/>
  <c r="AK55" i="2"/>
  <c r="AL55" i="2"/>
  <c r="AM55" i="2"/>
  <c r="AN55" i="2"/>
  <c r="AO55" i="2"/>
  <c r="AP55" i="2"/>
  <c r="AQ55" i="2"/>
  <c r="AR55" i="2"/>
  <c r="AS55" i="2"/>
  <c r="AT55" i="2"/>
  <c r="P53" i="2"/>
  <c r="Q53" i="2"/>
  <c r="P54" i="2"/>
  <c r="Q54" i="2"/>
  <c r="P55" i="2"/>
  <c r="Q55" i="2"/>
  <c r="R55" i="2"/>
  <c r="R54" i="2"/>
  <c r="Q35" i="2"/>
  <c r="R53" i="2"/>
  <c r="AV76" i="2"/>
  <c r="P12" i="2"/>
  <c r="Q12" i="2"/>
  <c r="R12" i="2"/>
  <c r="S12" i="2"/>
  <c r="T12" i="2"/>
  <c r="U12" i="2"/>
  <c r="V12" i="2"/>
  <c r="W12" i="2"/>
  <c r="X12" i="2"/>
  <c r="Y12" i="2"/>
  <c r="Z12" i="2"/>
  <c r="AA12" i="2"/>
  <c r="AB12" i="2"/>
  <c r="AC12" i="2"/>
  <c r="AD12" i="2"/>
  <c r="AE12" i="2"/>
  <c r="AF12" i="2"/>
  <c r="AG12" i="2"/>
  <c r="AH12" i="2"/>
  <c r="AI12" i="2"/>
  <c r="AJ12" i="2"/>
  <c r="AK12" i="2"/>
  <c r="AL12" i="2"/>
  <c r="AM12" i="2"/>
  <c r="AN12" i="2"/>
  <c r="AO12" i="2"/>
  <c r="AP12" i="2"/>
  <c r="AQ12" i="2"/>
  <c r="AR12" i="2"/>
  <c r="AS12" i="2"/>
  <c r="AT12" i="2"/>
  <c r="P13" i="2"/>
  <c r="P18" i="2" s="1"/>
  <c r="Q13" i="2"/>
  <c r="Q24" i="2" s="1"/>
  <c r="R13" i="2"/>
  <c r="S13" i="2"/>
  <c r="S24" i="2" s="1"/>
  <c r="T13" i="2"/>
  <c r="T24" i="2" s="1"/>
  <c r="U13" i="2"/>
  <c r="U24" i="2" s="1"/>
  <c r="V13" i="2"/>
  <c r="V24" i="2" s="1"/>
  <c r="W13" i="2"/>
  <c r="W35" i="2" s="1"/>
  <c r="X13" i="2"/>
  <c r="X24" i="2" s="1"/>
  <c r="Y13" i="2"/>
  <c r="Y24" i="2" s="1"/>
  <c r="Z13" i="2"/>
  <c r="Z24" i="2" s="1"/>
  <c r="AA13" i="2"/>
  <c r="AA41" i="2" s="1"/>
  <c r="AB13" i="2"/>
  <c r="AB24" i="2" s="1"/>
  <c r="AC13" i="2"/>
  <c r="AC24" i="2" s="1"/>
  <c r="AD13" i="2"/>
  <c r="AD24" i="2" s="1"/>
  <c r="AE13" i="2"/>
  <c r="AE24" i="2" s="1"/>
  <c r="AF13" i="2"/>
  <c r="AF24" i="2" s="1"/>
  <c r="AG13" i="2"/>
  <c r="AG41" i="2" s="1"/>
  <c r="AH13" i="2"/>
  <c r="AI13" i="2"/>
  <c r="AI24" i="2" s="1"/>
  <c r="AJ13" i="2"/>
  <c r="AJ24" i="2" s="1"/>
  <c r="AK13" i="2"/>
  <c r="AK24" i="2" s="1"/>
  <c r="AL13" i="2"/>
  <c r="AL24" i="2" s="1"/>
  <c r="AM13" i="2"/>
  <c r="AM35" i="2" s="1"/>
  <c r="AN13" i="2"/>
  <c r="AN24" i="2" s="1"/>
  <c r="AO13" i="2"/>
  <c r="AO24" i="2" s="1"/>
  <c r="AP13" i="2"/>
  <c r="AP24" i="2" s="1"/>
  <c r="AQ13" i="2"/>
  <c r="AQ24" i="2" s="1"/>
  <c r="AR13" i="2"/>
  <c r="AR24" i="2" s="1"/>
  <c r="AS13" i="2"/>
  <c r="AS24" i="2" s="1"/>
  <c r="AT13" i="2"/>
  <c r="AT24" i="2" s="1"/>
  <c r="AV72" i="2" l="1"/>
  <c r="AV71" i="2"/>
  <c r="AW76" i="2"/>
  <c r="AV61" i="2"/>
  <c r="AV60" i="2"/>
  <c r="AV59" i="2"/>
  <c r="AV55" i="2"/>
  <c r="AV54" i="2"/>
  <c r="AV53" i="2"/>
  <c r="AW70" i="2"/>
  <c r="AX70" i="2" s="1"/>
  <c r="U42" i="2"/>
  <c r="AI35" i="2"/>
  <c r="S41" i="2"/>
  <c r="AR42" i="2"/>
  <c r="AJ42" i="2"/>
  <c r="AB42" i="2"/>
  <c r="T37" i="2"/>
  <c r="AO19" i="2"/>
  <c r="AG20" i="2"/>
  <c r="Y19" i="2"/>
  <c r="Q19" i="2"/>
  <c r="AD35" i="2"/>
  <c r="AQ42" i="2"/>
  <c r="AI42" i="2"/>
  <c r="AA42" i="2"/>
  <c r="S42" i="2"/>
  <c r="AB35" i="2"/>
  <c r="R26" i="2"/>
  <c r="S35" i="2"/>
  <c r="AA43" i="2"/>
  <c r="AH26" i="2"/>
  <c r="V35" i="2"/>
  <c r="AT26" i="2"/>
  <c r="AL26" i="2"/>
  <c r="AD26" i="2"/>
  <c r="V26" i="2"/>
  <c r="AT35" i="2"/>
  <c r="AC41" i="2"/>
  <c r="AR37" i="2"/>
  <c r="AQ43" i="2"/>
  <c r="AM42" i="2"/>
  <c r="W42" i="2"/>
  <c r="AJ41" i="2"/>
  <c r="AP42" i="2"/>
  <c r="AH36" i="2"/>
  <c r="Z36" i="2"/>
  <c r="R36" i="2"/>
  <c r="AQ37" i="2"/>
  <c r="AS35" i="2"/>
  <c r="AC35" i="2"/>
  <c r="AI43" i="2"/>
  <c r="AL42" i="2"/>
  <c r="V42" i="2"/>
  <c r="AI41" i="2"/>
  <c r="AJ37" i="2"/>
  <c r="AN26" i="2"/>
  <c r="AF26" i="2"/>
  <c r="X26" i="2"/>
  <c r="P20" i="2"/>
  <c r="AI37" i="2"/>
  <c r="AQ35" i="2"/>
  <c r="AA35" i="2"/>
  <c r="S43" i="2"/>
  <c r="T42" i="2"/>
  <c r="AB41" i="2"/>
  <c r="AM26" i="2"/>
  <c r="AE26" i="2"/>
  <c r="W26" i="2"/>
  <c r="AM24" i="2"/>
  <c r="AB37" i="2"/>
  <c r="AL35" i="2"/>
  <c r="R43" i="2"/>
  <c r="AE42" i="2"/>
  <c r="AS41" i="2"/>
  <c r="AE25" i="2"/>
  <c r="U35" i="2"/>
  <c r="AD42" i="2"/>
  <c r="U41" i="2"/>
  <c r="AR35" i="2"/>
  <c r="AK42" i="2"/>
  <c r="AA37" i="2"/>
  <c r="AK35" i="2"/>
  <c r="AT42" i="2"/>
  <c r="AR41" i="2"/>
  <c r="AS26" i="2"/>
  <c r="AK26" i="2"/>
  <c r="AC26" i="2"/>
  <c r="U26" i="2"/>
  <c r="W25" i="2"/>
  <c r="AJ35" i="2"/>
  <c r="T35" i="2"/>
  <c r="AS42" i="2"/>
  <c r="AC42" i="2"/>
  <c r="AQ41" i="2"/>
  <c r="T41" i="2"/>
  <c r="S37" i="2"/>
  <c r="AK41" i="2"/>
  <c r="Z37" i="2"/>
  <c r="Y41" i="2"/>
  <c r="AO36" i="2"/>
  <c r="AN36" i="2"/>
  <c r="AH43" i="2"/>
  <c r="AP37" i="2"/>
  <c r="R37" i="2"/>
  <c r="W36" i="2"/>
  <c r="AO43" i="2"/>
  <c r="Y43" i="2"/>
  <c r="Q41" i="2"/>
  <c r="Y37" i="2"/>
  <c r="AL36" i="2"/>
  <c r="V36" i="2"/>
  <c r="AF43" i="2"/>
  <c r="AP41" i="2"/>
  <c r="AH41" i="2"/>
  <c r="Q42" i="2"/>
  <c r="X37" i="2"/>
  <c r="AK36" i="2"/>
  <c r="AP35" i="2"/>
  <c r="R35" i="2"/>
  <c r="AO41" i="2"/>
  <c r="AR25" i="2"/>
  <c r="AJ25" i="2"/>
  <c r="AB25" i="2"/>
  <c r="T25" i="2"/>
  <c r="W24" i="2"/>
  <c r="P41" i="2"/>
  <c r="Q43" i="2"/>
  <c r="AM37" i="2"/>
  <c r="AE37" i="2"/>
  <c r="W37" i="2"/>
  <c r="AR36" i="2"/>
  <c r="AJ36" i="2"/>
  <c r="AB36" i="2"/>
  <c r="T36" i="2"/>
  <c r="AO35" i="2"/>
  <c r="AG35" i="2"/>
  <c r="Y35" i="2"/>
  <c r="AT43" i="2"/>
  <c r="AL43" i="2"/>
  <c r="AD43" i="2"/>
  <c r="V43" i="2"/>
  <c r="AN41" i="2"/>
  <c r="AF41" i="2"/>
  <c r="X41" i="2"/>
  <c r="P35" i="2"/>
  <c r="AG37" i="2"/>
  <c r="R41" i="2"/>
  <c r="P37" i="2"/>
  <c r="AF37" i="2"/>
  <c r="AC36" i="2"/>
  <c r="AH35" i="2"/>
  <c r="AE43" i="2"/>
  <c r="AQ19" i="2"/>
  <c r="AI19" i="2"/>
  <c r="AA25" i="2"/>
  <c r="S19" i="2"/>
  <c r="P25" i="2"/>
  <c r="P42" i="2"/>
  <c r="AT37" i="2"/>
  <c r="AL37" i="2"/>
  <c r="AD37" i="2"/>
  <c r="V37" i="2"/>
  <c r="AQ36" i="2"/>
  <c r="AI36" i="2"/>
  <c r="AA36" i="2"/>
  <c r="S36" i="2"/>
  <c r="AN35" i="2"/>
  <c r="AF35" i="2"/>
  <c r="X35" i="2"/>
  <c r="AS43" i="2"/>
  <c r="AK43" i="2"/>
  <c r="AC43" i="2"/>
  <c r="U43" i="2"/>
  <c r="AH42" i="2"/>
  <c r="Z42" i="2"/>
  <c r="R42" i="2"/>
  <c r="AM41" i="2"/>
  <c r="AE41" i="2"/>
  <c r="W41" i="2"/>
  <c r="Y36" i="2"/>
  <c r="Q36" i="2"/>
  <c r="AF36" i="2"/>
  <c r="X36" i="2"/>
  <c r="AP43" i="2"/>
  <c r="Z43" i="2"/>
  <c r="Q37" i="2"/>
  <c r="AH37" i="2"/>
  <c r="AM36" i="2"/>
  <c r="AE36" i="2"/>
  <c r="AG43" i="2"/>
  <c r="AG24" i="2"/>
  <c r="P36" i="2"/>
  <c r="AO37" i="2"/>
  <c r="AT36" i="2"/>
  <c r="AD36" i="2"/>
  <c r="AN43" i="2"/>
  <c r="X43" i="2"/>
  <c r="Z41" i="2"/>
  <c r="AN37" i="2"/>
  <c r="AS36" i="2"/>
  <c r="U36" i="2"/>
  <c r="Z35" i="2"/>
  <c r="AM43" i="2"/>
  <c r="W43" i="2"/>
  <c r="AP25" i="2"/>
  <c r="AM25" i="2"/>
  <c r="P43" i="2"/>
  <c r="AS37" i="2"/>
  <c r="AK37" i="2"/>
  <c r="AC37" i="2"/>
  <c r="U37" i="2"/>
  <c r="AP36" i="2"/>
  <c r="AE35" i="2"/>
  <c r="AR43" i="2"/>
  <c r="AJ43" i="2"/>
  <c r="AB43" i="2"/>
  <c r="T43" i="2"/>
  <c r="AO42" i="2"/>
  <c r="AG42" i="2"/>
  <c r="Y42" i="2"/>
  <c r="AT41" i="2"/>
  <c r="AL41" i="2"/>
  <c r="AD41" i="2"/>
  <c r="V41" i="2"/>
  <c r="AG36" i="2"/>
  <c r="AN42" i="2"/>
  <c r="AF42" i="2"/>
  <c r="X42" i="2"/>
  <c r="AR26" i="2"/>
  <c r="AJ26" i="2"/>
  <c r="AB26" i="2"/>
  <c r="T26" i="2"/>
  <c r="AO25" i="2"/>
  <c r="AG25" i="2"/>
  <c r="Y25" i="2"/>
  <c r="AH19" i="2"/>
  <c r="Z19" i="2"/>
  <c r="R19" i="2"/>
  <c r="AH24" i="2"/>
  <c r="R24" i="2"/>
  <c r="AQ26" i="2"/>
  <c r="AI26" i="2"/>
  <c r="AA26" i="2"/>
  <c r="S26" i="2"/>
  <c r="AN25" i="2"/>
  <c r="AF25" i="2"/>
  <c r="X25" i="2"/>
  <c r="P26" i="2"/>
  <c r="AO26" i="2"/>
  <c r="AG26" i="2"/>
  <c r="Y26" i="2"/>
  <c r="AT25" i="2"/>
  <c r="AL25" i="2"/>
  <c r="AD25" i="2"/>
  <c r="V25" i="2"/>
  <c r="AP26" i="2"/>
  <c r="P24" i="2"/>
  <c r="Q26" i="2"/>
  <c r="AS25" i="2"/>
  <c r="AK25" i="2"/>
  <c r="AC25" i="2"/>
  <c r="U25" i="2"/>
  <c r="Z26" i="2"/>
  <c r="Q25" i="2"/>
  <c r="AQ25" i="2"/>
  <c r="AI25" i="2"/>
  <c r="S25" i="2"/>
  <c r="AH25" i="2"/>
  <c r="Z25" i="2"/>
  <c r="R25" i="2"/>
  <c r="AA19" i="2"/>
  <c r="AN19" i="2"/>
  <c r="AF19" i="2"/>
  <c r="X19" i="2"/>
  <c r="AH20" i="2"/>
  <c r="AT19" i="2"/>
  <c r="AL19" i="2"/>
  <c r="AD19" i="2"/>
  <c r="V19" i="2"/>
  <c r="AP19" i="2"/>
  <c r="AG19" i="2"/>
  <c r="AS19" i="2"/>
  <c r="AK19" i="2"/>
  <c r="AC19" i="2"/>
  <c r="U19" i="2"/>
  <c r="AR19" i="2"/>
  <c r="AA24" i="2"/>
  <c r="AM19" i="2"/>
  <c r="AE19" i="2"/>
  <c r="W19" i="2"/>
  <c r="AJ19" i="2"/>
  <c r="AB19" i="2"/>
  <c r="T19" i="2"/>
  <c r="P19" i="2"/>
  <c r="AR18" i="2"/>
  <c r="AJ18" i="2"/>
  <c r="AB18" i="2"/>
  <c r="T18" i="2"/>
  <c r="AI18" i="2"/>
  <c r="AH18" i="2"/>
  <c r="Y18" i="2"/>
  <c r="Z20" i="2"/>
  <c r="U18" i="2"/>
  <c r="Z18" i="2"/>
  <c r="AO18" i="2"/>
  <c r="AA18" i="2"/>
  <c r="AP18" i="2"/>
  <c r="AC18" i="2"/>
  <c r="AQ18" i="2"/>
  <c r="Q18" i="2"/>
  <c r="AG18" i="2"/>
  <c r="AS18" i="2"/>
  <c r="AC20" i="2"/>
  <c r="S18" i="2"/>
  <c r="AT18" i="2"/>
  <c r="R18" i="2"/>
  <c r="Q20" i="2"/>
  <c r="AK20" i="2"/>
  <c r="R20" i="2"/>
  <c r="AO20" i="2"/>
  <c r="U20" i="2"/>
  <c r="AP20" i="2"/>
  <c r="Y20" i="2"/>
  <c r="AS20" i="2"/>
  <c r="AL18" i="2"/>
  <c r="AK18" i="2"/>
  <c r="AN18" i="2"/>
  <c r="AF18" i="2"/>
  <c r="X18" i="2"/>
  <c r="AM18" i="2"/>
  <c r="W20" i="2"/>
  <c r="AL20" i="2"/>
  <c r="V18" i="2"/>
  <c r="AN20" i="2"/>
  <c r="AE20" i="2"/>
  <c r="X20" i="2"/>
  <c r="AE18" i="2"/>
  <c r="W18" i="2"/>
  <c r="V20" i="2"/>
  <c r="AD18" i="2"/>
  <c r="AQ20" i="2"/>
  <c r="AI20" i="2"/>
  <c r="AA20" i="2"/>
  <c r="S20" i="2"/>
  <c r="AR20" i="2"/>
  <c r="AJ20" i="2"/>
  <c r="AB20" i="2"/>
  <c r="T20" i="2"/>
  <c r="AM20" i="2"/>
  <c r="AT20" i="2"/>
  <c r="AF20" i="2"/>
  <c r="AD20" i="2"/>
  <c r="AW59" i="2" l="1"/>
  <c r="AW53" i="2"/>
  <c r="AX53" i="2" s="1"/>
  <c r="AY64" i="2" s="1"/>
  <c r="AZ64" i="2" s="1"/>
  <c r="AV41" i="2"/>
  <c r="AV42" i="2"/>
  <c r="AV37" i="2"/>
  <c r="AV35" i="2"/>
  <c r="AV36" i="2"/>
  <c r="AV43" i="2"/>
  <c r="AW41" i="2" s="1"/>
  <c r="AV20" i="2"/>
  <c r="AV19" i="2"/>
  <c r="AV24" i="2"/>
  <c r="AV18" i="2"/>
  <c r="AW35" i="2" l="1"/>
  <c r="AX35" i="2" s="1"/>
  <c r="AW18" i="2"/>
  <c r="AX18" i="2" s="1"/>
  <c r="AV26" i="2"/>
  <c r="AV25" i="2"/>
  <c r="AY29" i="2" l="1"/>
  <c r="AZ29" i="2" s="1"/>
  <c r="AW24" i="2"/>
</calcChain>
</file>

<file path=xl/sharedStrings.xml><?xml version="1.0" encoding="utf-8"?>
<sst xmlns="http://schemas.openxmlformats.org/spreadsheetml/2006/main" count="157" uniqueCount="63">
  <si>
    <t>DiscountRate</t>
  </si>
  <si>
    <t>tax</t>
  </si>
  <si>
    <t>inflation</t>
  </si>
  <si>
    <t>ProjectTime</t>
  </si>
  <si>
    <t>None</t>
  </si>
  <si>
    <t>Year</t>
  </si>
  <si>
    <t>Tax</t>
  </si>
  <si>
    <t>Discount</t>
  </si>
  <si>
    <t>operating CAPEX</t>
  </si>
  <si>
    <t>CF SUM</t>
  </si>
  <si>
    <t>COMP SUM</t>
  </si>
  <si>
    <t>TOTAL SUM</t>
  </si>
  <si>
    <t>Lifetime</t>
  </si>
  <si>
    <t>StartTime</t>
  </si>
  <si>
    <t>Repetitions</t>
  </si>
  <si>
    <t>Batt_lifetime</t>
  </si>
  <si>
    <t>Batt_startTime</t>
  </si>
  <si>
    <t>Batt_repetitions</t>
  </si>
  <si>
    <t>Batt_CAPEX_alpha</t>
  </si>
  <si>
    <t>Batt_CAPEX_driver</t>
  </si>
  <si>
    <t>Batt_CAPEX_ref</t>
  </si>
  <si>
    <t>Batt_CAPEX_x</t>
  </si>
  <si>
    <t>Batt_CAPEX_depreciation</t>
  </si>
  <si>
    <t>Batt_CAPEX_inflation</t>
  </si>
  <si>
    <t>Batt_CAPEX</t>
  </si>
  <si>
    <t>Batt_CAPEX_tax</t>
  </si>
  <si>
    <t>Batt_Recurring_alpha</t>
  </si>
  <si>
    <t>Batt_Recurring_driver</t>
  </si>
  <si>
    <t>Batt_Recurring_inflation</t>
  </si>
  <si>
    <t>Batt_Recurring_tax</t>
  </si>
  <si>
    <t>Batt2_lifetime</t>
  </si>
  <si>
    <t>Batt2_startTime</t>
  </si>
  <si>
    <t>Batt2_repetitions</t>
  </si>
  <si>
    <t>Batt2_CAPEX_alpha</t>
  </si>
  <si>
    <t>Batt2_CAPEX_driver</t>
  </si>
  <si>
    <t>Batt2_CAPEX_ref</t>
  </si>
  <si>
    <t>Batt2_CAPEX_x</t>
  </si>
  <si>
    <t>Batt2_CAPEX_inflation</t>
  </si>
  <si>
    <t>Batt2_CAPEX_tax</t>
  </si>
  <si>
    <t>Batt2_Recurring_alpha</t>
  </si>
  <si>
    <t>Batt2_Recurring_driver</t>
  </si>
  <si>
    <t>Batt2_Recurring_inflation</t>
  </si>
  <si>
    <t>Batt2_Recurring_tax</t>
  </si>
  <si>
    <t>Batt2</t>
  </si>
  <si>
    <t>Batt</t>
  </si>
  <si>
    <t>Batt_Recurring_OM</t>
  </si>
  <si>
    <t>Batt_Recurring_RE</t>
  </si>
  <si>
    <t>operating Recurring RE</t>
  </si>
  <si>
    <t>operating Recurring OM</t>
  </si>
  <si>
    <t>devel</t>
  </si>
  <si>
    <t>DIFF</t>
  </si>
  <si>
    <t>e88881f</t>
  </si>
  <si>
    <t>Relative Error</t>
  </si>
  <si>
    <t>repetitions (original inputs)</t>
  </si>
  <si>
    <t>repetitions (original inputs)
last year  logged</t>
  </si>
  <si>
    <t>repetitions (original inputs)
last year NOT logged</t>
  </si>
  <si>
    <t xml:space="preserve"> WRONG! With the cost values, the error was not being caught by Rook!</t>
  </si>
  <si>
    <t>Testing Difference in cashflows when NOT logging last year of operations (error) vs. logging the last year of operations (corrected)</t>
  </si>
  <si>
    <t>3d4fde8d</t>
  </si>
  <si>
    <t>repetitions (modified inputs)</t>
  </si>
  <si>
    <t>Testing Difference in cashflows when NOT logging last year of operations (error) vs. logging the last year of operations (corrected)
This time, modifying the input parameters so that error is caught by Rook</t>
  </si>
  <si>
    <t>devel w/ modified inputs</t>
  </si>
  <si>
    <t>CORRECT! Diff is now caught by rook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</si>
</sst>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0000000E+00"/>
    <numFmt numFmtId="166" formatCode="0.000000E+00"/>
  </numFmts>
  <fonts count="5" x14ac:knownFonts="1">
    <font>
      <sz val="11"/>
      <color theme="1"/>
      <name val="Aptos Narrow"/>
      <family val="2"/>
      <scheme val="minor"/>
    </font>
    <font>
      <b/>
      <sz val="11"/>
      <color theme="1"/>
      <name val="Aptos Narrow"/>
      <family val="2"/>
      <scheme val="minor"/>
    </font>
    <font>
      <sz val="10"/>
      <color theme="1"/>
      <name val="Aptos Narrow"/>
      <family val="2"/>
      <scheme val="minor"/>
    </font>
    <font>
      <i/>
      <sz val="11"/>
      <color theme="1"/>
      <name val="Aptos Narrow"/>
      <family val="2"/>
      <scheme val="minor"/>
    </font>
    <font>
      <sz val="9"/>
      <color rgb="FF61AFEF"/>
      <name val="Consolas"/>
      <family val="3"/>
    </font>
  </fonts>
  <fills count="16">
    <fill>
      <patternFill patternType="none"/>
    </fill>
    <fill>
      <patternFill patternType="gray125"/>
    </fill>
    <fill>
      <patternFill patternType="solid">
        <fgColor theme="2" tint="-9.9978637043366805E-2"/>
        <bgColor indexed="64"/>
      </patternFill>
    </fill>
    <fill>
      <patternFill patternType="solid">
        <fgColor theme="0" tint="-4.9989318521683403E-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3" tint="0.749992370372631"/>
        <bgColor indexed="64"/>
      </patternFill>
    </fill>
    <fill>
      <patternFill patternType="solid">
        <fgColor theme="2" tint="-0.249977111117893"/>
        <bgColor indexed="64"/>
      </patternFill>
    </fill>
    <fill>
      <patternFill patternType="solid">
        <fgColor theme="5"/>
        <bgColor indexed="64"/>
      </patternFill>
    </fill>
    <fill>
      <patternFill patternType="solid">
        <fgColor theme="9" tint="0.39997558519241921"/>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31">
    <xf numFmtId="0" fontId="0" fillId="0" borderId="0" xfId="0"/>
    <xf numFmtId="0" fontId="0" fillId="0" borderId="0" xfId="0" applyAlignment="1">
      <alignment horizontal="center"/>
    </xf>
    <xf numFmtId="0" fontId="0" fillId="0" borderId="0" xfId="0" applyAlignment="1">
      <alignment horizontal="left"/>
    </xf>
    <xf numFmtId="0" fontId="0" fillId="2" borderId="10" xfId="0" applyFill="1" applyBorder="1" applyAlignment="1">
      <alignment horizontal="left"/>
    </xf>
    <xf numFmtId="0" fontId="0" fillId="2" borderId="11" xfId="0" applyFill="1" applyBorder="1" applyAlignment="1">
      <alignment horizontal="left"/>
    </xf>
    <xf numFmtId="0" fontId="0" fillId="2" borderId="12" xfId="0" applyFill="1" applyBorder="1" applyAlignment="1">
      <alignment horizontal="left"/>
    </xf>
    <xf numFmtId="0" fontId="0" fillId="0" borderId="0" xfId="0" applyAlignment="1">
      <alignment horizontal="right"/>
    </xf>
    <xf numFmtId="11" fontId="2" fillId="0" borderId="0" xfId="0" applyNumberFormat="1" applyFont="1" applyAlignment="1">
      <alignment horizontal="center"/>
    </xf>
    <xf numFmtId="0" fontId="2" fillId="0" borderId="0" xfId="0" applyFont="1"/>
    <xf numFmtId="0" fontId="2" fillId="0" borderId="0" xfId="0" applyFont="1" applyAlignment="1">
      <alignment horizontal="center"/>
    </xf>
    <xf numFmtId="0" fontId="0" fillId="0" borderId="0" xfId="0" applyAlignment="1">
      <alignment horizontal="center" vertical="center"/>
    </xf>
    <xf numFmtId="0" fontId="2" fillId="0" borderId="6" xfId="0"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11" fontId="2" fillId="0" borderId="6" xfId="0" applyNumberFormat="1" applyFont="1" applyBorder="1" applyAlignment="1">
      <alignment horizontal="center"/>
    </xf>
    <xf numFmtId="11" fontId="2" fillId="0" borderId="8" xfId="0" applyNumberFormat="1" applyFont="1" applyBorder="1" applyAlignment="1">
      <alignment horizontal="center"/>
    </xf>
    <xf numFmtId="11" fontId="2" fillId="0" borderId="9" xfId="0" applyNumberFormat="1" applyFont="1" applyBorder="1" applyAlignment="1">
      <alignment horizontal="center"/>
    </xf>
    <xf numFmtId="11" fontId="2" fillId="0" borderId="5" xfId="0" applyNumberFormat="1" applyFont="1" applyBorder="1" applyAlignment="1">
      <alignment horizontal="center"/>
    </xf>
    <xf numFmtId="11" fontId="2" fillId="0" borderId="7" xfId="0" applyNumberFormat="1" applyFont="1" applyBorder="1" applyAlignment="1">
      <alignment horizontal="center"/>
    </xf>
    <xf numFmtId="0" fontId="1" fillId="0" borderId="0" xfId="0" applyFont="1" applyAlignment="1">
      <alignment horizontal="center" vertical="center"/>
    </xf>
    <xf numFmtId="0" fontId="2" fillId="0" borderId="11" xfId="0" applyFont="1" applyBorder="1" applyAlignment="1">
      <alignment horizontal="center"/>
    </xf>
    <xf numFmtId="0" fontId="2" fillId="0" borderId="12" xfId="0" applyFont="1" applyBorder="1" applyAlignment="1">
      <alignment horizontal="center"/>
    </xf>
    <xf numFmtId="11" fontId="2" fillId="0" borderId="11" xfId="0" applyNumberFormat="1" applyFont="1" applyBorder="1" applyAlignment="1">
      <alignment horizontal="center"/>
    </xf>
    <xf numFmtId="11" fontId="2" fillId="0" borderId="12" xfId="0" applyNumberFormat="1" applyFont="1" applyBorder="1" applyAlignment="1">
      <alignment horizontal="center"/>
    </xf>
    <xf numFmtId="0" fontId="2" fillId="0" borderId="10" xfId="0" applyFont="1" applyBorder="1" applyAlignment="1">
      <alignment horizontal="center"/>
    </xf>
    <xf numFmtId="0" fontId="0" fillId="4" borderId="1" xfId="0" applyFill="1" applyBorder="1" applyAlignment="1">
      <alignment horizontal="center" vertical="center"/>
    </xf>
    <xf numFmtId="0" fontId="0" fillId="4" borderId="13" xfId="0" applyFill="1" applyBorder="1" applyAlignment="1">
      <alignment horizontal="center" vertical="center"/>
    </xf>
    <xf numFmtId="0" fontId="0" fillId="4" borderId="14" xfId="0" applyFill="1" applyBorder="1" applyAlignment="1">
      <alignment horizontal="center" vertical="center"/>
    </xf>
    <xf numFmtId="0" fontId="0" fillId="4" borderId="1" xfId="0" applyFill="1" applyBorder="1" applyAlignment="1">
      <alignment horizontal="center"/>
    </xf>
    <xf numFmtId="0" fontId="0" fillId="7" borderId="11" xfId="0" applyFill="1" applyBorder="1" applyAlignment="1">
      <alignment horizontal="center"/>
    </xf>
    <xf numFmtId="0" fontId="0" fillId="7" borderId="12" xfId="0" applyFill="1" applyBorder="1" applyAlignment="1">
      <alignment horizontal="center"/>
    </xf>
    <xf numFmtId="0" fontId="3" fillId="8" borderId="10" xfId="0" applyFont="1" applyFill="1" applyBorder="1" applyAlignment="1">
      <alignment horizontal="right"/>
    </xf>
    <xf numFmtId="0" fontId="3" fillId="8" borderId="11" xfId="0" applyFont="1" applyFill="1" applyBorder="1" applyAlignment="1">
      <alignment horizontal="right"/>
    </xf>
    <xf numFmtId="0" fontId="1" fillId="8" borderId="11" xfId="0" applyFont="1" applyFill="1" applyBorder="1" applyAlignment="1">
      <alignment horizontal="left"/>
    </xf>
    <xf numFmtId="0" fontId="1" fillId="8" borderId="12" xfId="0" applyFont="1" applyFill="1" applyBorder="1" applyAlignment="1">
      <alignment horizontal="left"/>
    </xf>
    <xf numFmtId="0" fontId="2" fillId="4" borderId="0" xfId="0" applyFont="1" applyFill="1" applyAlignment="1">
      <alignment horizontal="center"/>
    </xf>
    <xf numFmtId="0" fontId="2" fillId="12" borderId="0" xfId="0" applyFont="1" applyFill="1" applyAlignment="1">
      <alignment horizontal="center"/>
    </xf>
    <xf numFmtId="0" fontId="0" fillId="10" borderId="10" xfId="0" applyFill="1" applyBorder="1" applyAlignment="1">
      <alignment horizontal="left"/>
    </xf>
    <xf numFmtId="0" fontId="0" fillId="10" borderId="11" xfId="0" applyFill="1" applyBorder="1" applyAlignment="1">
      <alignment horizontal="left"/>
    </xf>
    <xf numFmtId="0" fontId="0" fillId="10" borderId="12" xfId="0" applyFill="1" applyBorder="1" applyAlignment="1">
      <alignment horizontal="left"/>
    </xf>
    <xf numFmtId="0" fontId="0" fillId="11" borderId="10" xfId="0" applyFill="1" applyBorder="1" applyAlignment="1">
      <alignment horizontal="left"/>
    </xf>
    <xf numFmtId="0" fontId="0" fillId="11" borderId="11" xfId="0" applyFill="1" applyBorder="1" applyAlignment="1">
      <alignment horizontal="left"/>
    </xf>
    <xf numFmtId="0" fontId="0" fillId="11" borderId="12" xfId="0" applyFill="1" applyBorder="1" applyAlignment="1">
      <alignment horizontal="left"/>
    </xf>
    <xf numFmtId="0" fontId="0" fillId="3" borderId="10" xfId="0" applyFill="1" applyBorder="1" applyAlignment="1">
      <alignment horizontal="center"/>
    </xf>
    <xf numFmtId="0" fontId="0" fillId="3" borderId="11" xfId="0" applyFill="1" applyBorder="1" applyAlignment="1">
      <alignment horizontal="center"/>
    </xf>
    <xf numFmtId="0" fontId="0" fillId="3" borderId="12" xfId="0" applyFill="1" applyBorder="1" applyAlignment="1">
      <alignment horizontal="center"/>
    </xf>
    <xf numFmtId="0" fontId="0" fillId="10" borderId="10" xfId="0" applyFill="1" applyBorder="1" applyAlignment="1">
      <alignment horizontal="right"/>
    </xf>
    <xf numFmtId="0" fontId="0" fillId="10" borderId="11" xfId="0" applyFill="1" applyBorder="1" applyAlignment="1">
      <alignment horizontal="right"/>
    </xf>
    <xf numFmtId="0" fontId="0" fillId="10" borderId="12" xfId="0" applyFill="1" applyBorder="1" applyAlignment="1">
      <alignment horizontal="right"/>
    </xf>
    <xf numFmtId="0" fontId="0" fillId="11" borderId="10" xfId="0" applyFill="1" applyBorder="1" applyAlignment="1">
      <alignment horizontal="right"/>
    </xf>
    <xf numFmtId="0" fontId="0" fillId="11" borderId="11" xfId="0" applyFill="1" applyBorder="1" applyAlignment="1">
      <alignment horizontal="right"/>
    </xf>
    <xf numFmtId="0" fontId="0" fillId="11" borderId="12" xfId="0" applyFill="1" applyBorder="1" applyAlignment="1">
      <alignment horizontal="right"/>
    </xf>
    <xf numFmtId="11" fontId="0" fillId="5" borderId="10" xfId="0" applyNumberFormat="1" applyFill="1" applyBorder="1" applyAlignment="1">
      <alignment horizontal="center"/>
    </xf>
    <xf numFmtId="11" fontId="0" fillId="5" borderId="12" xfId="0" applyNumberFormat="1" applyFill="1" applyBorder="1" applyAlignment="1">
      <alignment horizontal="center"/>
    </xf>
    <xf numFmtId="0" fontId="1" fillId="8" borderId="10" xfId="0" applyFont="1" applyFill="1" applyBorder="1" applyAlignment="1">
      <alignment horizontal="left"/>
    </xf>
    <xf numFmtId="11" fontId="2" fillId="0" borderId="10" xfId="0" applyNumberFormat="1" applyFont="1" applyBorder="1" applyAlignment="1">
      <alignment horizontal="center"/>
    </xf>
    <xf numFmtId="11" fontId="2" fillId="0" borderId="3" xfId="0" applyNumberFormat="1" applyFont="1" applyBorder="1" applyAlignment="1">
      <alignment horizontal="center"/>
    </xf>
    <xf numFmtId="11" fontId="2" fillId="0" borderId="4" xfId="0" applyNumberFormat="1" applyFont="1" applyBorder="1" applyAlignment="1">
      <alignment horizontal="center"/>
    </xf>
    <xf numFmtId="0" fontId="2" fillId="12" borderId="4" xfId="0" applyFont="1" applyFill="1" applyBorder="1" applyAlignment="1">
      <alignment horizontal="center"/>
    </xf>
    <xf numFmtId="0" fontId="3" fillId="0" borderId="12" xfId="0" applyFont="1" applyBorder="1" applyAlignment="1">
      <alignment horizontal="right"/>
    </xf>
    <xf numFmtId="11" fontId="0" fillId="5" borderId="11" xfId="0" applyNumberFormat="1" applyFill="1" applyBorder="1" applyAlignment="1">
      <alignment horizontal="center"/>
    </xf>
    <xf numFmtId="11" fontId="2" fillId="0" borderId="2" xfId="0" applyNumberFormat="1" applyFont="1" applyBorder="1" applyAlignment="1">
      <alignment horizontal="center"/>
    </xf>
    <xf numFmtId="0" fontId="4" fillId="0" borderId="0" xfId="0" applyFont="1" applyAlignment="1">
      <alignment vertical="center"/>
    </xf>
    <xf numFmtId="0" fontId="1" fillId="13" borderId="1" xfId="0" applyFont="1" applyFill="1" applyBorder="1" applyAlignment="1">
      <alignment horizontal="center"/>
    </xf>
    <xf numFmtId="0" fontId="0" fillId="10" borderId="10" xfId="0" applyFill="1" applyBorder="1" applyAlignment="1">
      <alignment horizontal="center" vertical="center"/>
    </xf>
    <xf numFmtId="0" fontId="0" fillId="10" borderId="11" xfId="0" applyFill="1" applyBorder="1" applyAlignment="1">
      <alignment horizontal="center" vertical="center"/>
    </xf>
    <xf numFmtId="0" fontId="0" fillId="11" borderId="10" xfId="0" applyFill="1" applyBorder="1" applyAlignment="1">
      <alignment horizontal="center" vertical="center"/>
    </xf>
    <xf numFmtId="0" fontId="0" fillId="11" borderId="11" xfId="0" applyFill="1" applyBorder="1" applyAlignment="1">
      <alignment horizontal="center" vertical="center"/>
    </xf>
    <xf numFmtId="0" fontId="0" fillId="11" borderId="12" xfId="0" applyFill="1" applyBorder="1" applyAlignment="1">
      <alignment horizontal="center" vertical="center"/>
    </xf>
    <xf numFmtId="0" fontId="1" fillId="13" borderId="10" xfId="0" applyFont="1" applyFill="1" applyBorder="1" applyAlignment="1">
      <alignment horizontal="center" vertical="center"/>
    </xf>
    <xf numFmtId="0" fontId="1" fillId="13" borderId="11" xfId="0" applyFont="1" applyFill="1" applyBorder="1" applyAlignment="1">
      <alignment horizontal="center" vertical="center"/>
    </xf>
    <xf numFmtId="0" fontId="1" fillId="13" borderId="12" xfId="0" applyFont="1" applyFill="1" applyBorder="1" applyAlignment="1">
      <alignment horizontal="center" vertical="center"/>
    </xf>
    <xf numFmtId="0" fontId="0" fillId="0" borderId="10" xfId="0" applyBorder="1" applyAlignment="1">
      <alignment horizontal="center" vertical="center" textRotation="90"/>
    </xf>
    <xf numFmtId="0" fontId="0" fillId="0" borderId="11" xfId="0" applyBorder="1" applyAlignment="1">
      <alignment horizontal="center" vertical="center" textRotation="90"/>
    </xf>
    <xf numFmtId="0" fontId="0" fillId="0" borderId="12" xfId="0" applyBorder="1" applyAlignment="1">
      <alignment horizontal="center" vertical="center" textRotation="90"/>
    </xf>
    <xf numFmtId="165" fontId="0" fillId="5" borderId="10" xfId="0" applyNumberFormat="1" applyFill="1" applyBorder="1" applyAlignment="1">
      <alignment horizontal="center" vertical="center"/>
    </xf>
    <xf numFmtId="165" fontId="0" fillId="5" borderId="11" xfId="0" applyNumberFormat="1" applyFill="1" applyBorder="1" applyAlignment="1">
      <alignment horizontal="center" vertical="center"/>
    </xf>
    <xf numFmtId="165" fontId="0" fillId="5" borderId="12" xfId="0" applyNumberFormat="1" applyFill="1" applyBorder="1" applyAlignment="1">
      <alignment horizontal="center" vertic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12" xfId="0" applyFont="1" applyFill="1" applyBorder="1" applyAlignment="1">
      <alignment horizontal="center" vertical="center"/>
    </xf>
    <xf numFmtId="0" fontId="0" fillId="9" borderId="10" xfId="0" applyFill="1" applyBorder="1" applyAlignment="1">
      <alignment horizontal="center" vertical="center"/>
    </xf>
    <xf numFmtId="0" fontId="0" fillId="9" borderId="11" xfId="0" applyFill="1" applyBorder="1" applyAlignment="1">
      <alignment horizontal="center" vertical="center"/>
    </xf>
    <xf numFmtId="0" fontId="0" fillId="9" borderId="12" xfId="0" applyFill="1" applyBorder="1" applyAlignment="1">
      <alignment horizontal="center" vertical="center"/>
    </xf>
    <xf numFmtId="0" fontId="1" fillId="6" borderId="5" xfId="0" applyFont="1" applyFill="1" applyBorder="1" applyAlignment="1">
      <alignment horizontal="center" vertical="center" textRotation="90"/>
    </xf>
    <xf numFmtId="0" fontId="1" fillId="6" borderId="7" xfId="0" applyFont="1" applyFill="1" applyBorder="1" applyAlignment="1">
      <alignment horizontal="center" vertical="center" textRotation="90"/>
    </xf>
    <xf numFmtId="166" fontId="0" fillId="10" borderId="2" xfId="0" applyNumberFormat="1" applyFill="1" applyBorder="1" applyAlignment="1">
      <alignment horizontal="center" vertical="center"/>
    </xf>
    <xf numFmtId="166" fontId="0" fillId="10" borderId="5" xfId="0" applyNumberFormat="1" applyFill="1" applyBorder="1" applyAlignment="1">
      <alignment horizontal="center" vertical="center"/>
    </xf>
    <xf numFmtId="166" fontId="0" fillId="10" borderId="7" xfId="0" applyNumberFormat="1" applyFill="1" applyBorder="1" applyAlignment="1">
      <alignment horizontal="center" vertical="center"/>
    </xf>
    <xf numFmtId="2" fontId="0" fillId="0" borderId="0" xfId="0" applyNumberFormat="1" applyAlignment="1">
      <alignment horizontal="center"/>
    </xf>
    <xf numFmtId="2" fontId="0" fillId="3" borderId="4" xfId="0" applyNumberFormat="1" applyFill="1" applyBorder="1" applyAlignment="1">
      <alignment horizontal="center"/>
    </xf>
    <xf numFmtId="2" fontId="0" fillId="3" borderId="6" xfId="0" applyNumberFormat="1" applyFill="1" applyBorder="1" applyAlignment="1">
      <alignment horizontal="center"/>
    </xf>
    <xf numFmtId="2" fontId="0" fillId="3" borderId="9" xfId="0" applyNumberFormat="1" applyFill="1" applyBorder="1" applyAlignment="1">
      <alignment horizontal="center"/>
    </xf>
    <xf numFmtId="165" fontId="0" fillId="14" borderId="10" xfId="0" applyNumberFormat="1" applyFill="1" applyBorder="1" applyAlignment="1">
      <alignment horizontal="center" vertical="center"/>
    </xf>
    <xf numFmtId="165" fontId="0" fillId="14" borderId="11" xfId="0" applyNumberFormat="1" applyFill="1" applyBorder="1" applyAlignment="1">
      <alignment horizontal="center" vertical="center"/>
    </xf>
    <xf numFmtId="165" fontId="0" fillId="14" borderId="12" xfId="0" applyNumberFormat="1" applyFill="1" applyBorder="1" applyAlignment="1">
      <alignment horizontal="center" vertical="center"/>
    </xf>
    <xf numFmtId="0" fontId="1" fillId="14" borderId="2" xfId="0" applyFont="1" applyFill="1" applyBorder="1" applyAlignment="1">
      <alignment horizontal="center" vertical="center" wrapText="1"/>
    </xf>
    <xf numFmtId="0" fontId="1" fillId="14" borderId="3" xfId="0" applyFont="1" applyFill="1" applyBorder="1" applyAlignment="1">
      <alignment horizontal="center" vertical="center" wrapText="1"/>
    </xf>
    <xf numFmtId="0" fontId="1" fillId="14" borderId="4" xfId="0" applyFont="1" applyFill="1" applyBorder="1" applyAlignment="1">
      <alignment horizontal="center" vertical="center" wrapText="1"/>
    </xf>
    <xf numFmtId="0" fontId="1" fillId="14" borderId="5" xfId="0" applyFont="1" applyFill="1" applyBorder="1" applyAlignment="1">
      <alignment horizontal="center" vertical="center" wrapText="1"/>
    </xf>
    <xf numFmtId="0" fontId="1" fillId="14" borderId="0" xfId="0" applyFont="1" applyFill="1" applyBorder="1" applyAlignment="1">
      <alignment horizontal="center" vertical="center" wrapText="1"/>
    </xf>
    <xf numFmtId="0" fontId="1" fillId="14" borderId="6" xfId="0" applyFont="1" applyFill="1" applyBorder="1" applyAlignment="1">
      <alignment horizontal="center" vertical="center" wrapText="1"/>
    </xf>
    <xf numFmtId="0" fontId="1" fillId="14" borderId="7" xfId="0" applyFont="1" applyFill="1" applyBorder="1" applyAlignment="1">
      <alignment horizontal="center" vertical="center" wrapText="1"/>
    </xf>
    <xf numFmtId="0" fontId="1" fillId="14" borderId="8" xfId="0" applyFont="1" applyFill="1" applyBorder="1" applyAlignment="1">
      <alignment horizontal="center" vertical="center" wrapText="1"/>
    </xf>
    <xf numFmtId="0" fontId="1" fillId="14" borderId="9" xfId="0" applyFont="1" applyFill="1" applyBorder="1" applyAlignment="1">
      <alignment horizontal="center" vertical="center" wrapText="1"/>
    </xf>
    <xf numFmtId="0" fontId="1" fillId="6" borderId="2" xfId="0" applyFont="1" applyFill="1" applyBorder="1" applyAlignment="1">
      <alignment horizontal="center" vertical="center" textRotation="90" wrapText="1"/>
    </xf>
    <xf numFmtId="0" fontId="1" fillId="6" borderId="10" xfId="0" applyFont="1" applyFill="1" applyBorder="1" applyAlignment="1">
      <alignment horizontal="center" vertical="center" textRotation="90" wrapText="1"/>
    </xf>
    <xf numFmtId="0" fontId="1" fillId="6" borderId="11" xfId="0" applyFont="1" applyFill="1" applyBorder="1" applyAlignment="1">
      <alignment horizontal="center" vertical="center" textRotation="90" wrapText="1"/>
    </xf>
    <xf numFmtId="0" fontId="1" fillId="6" borderId="12" xfId="0" applyFont="1" applyFill="1" applyBorder="1" applyAlignment="1">
      <alignment horizontal="center" vertical="center" textRotation="90" wrapText="1"/>
    </xf>
    <xf numFmtId="0" fontId="1" fillId="15" borderId="10" xfId="0" applyFont="1" applyFill="1" applyBorder="1" applyAlignment="1">
      <alignment horizontal="center" vertical="center" textRotation="90" wrapText="1"/>
    </xf>
    <xf numFmtId="0" fontId="1" fillId="15" borderId="11" xfId="0" applyFont="1" applyFill="1" applyBorder="1" applyAlignment="1">
      <alignment horizontal="center" vertical="center" textRotation="90" wrapText="1"/>
    </xf>
    <xf numFmtId="0" fontId="1" fillId="15" borderId="12" xfId="0" applyFont="1" applyFill="1" applyBorder="1" applyAlignment="1">
      <alignment horizontal="center" vertical="center" textRotation="90" wrapText="1"/>
    </xf>
    <xf numFmtId="0" fontId="1" fillId="15" borderId="2" xfId="0" applyFont="1" applyFill="1" applyBorder="1" applyAlignment="1">
      <alignment horizontal="center" vertical="center" textRotation="90" wrapText="1"/>
    </xf>
    <xf numFmtId="0" fontId="1" fillId="15" borderId="5" xfId="0" applyFont="1" applyFill="1" applyBorder="1" applyAlignment="1">
      <alignment horizontal="center" vertical="center" textRotation="90"/>
    </xf>
    <xf numFmtId="0" fontId="1" fillId="15" borderId="7" xfId="0" applyFont="1" applyFill="1" applyBorder="1" applyAlignment="1">
      <alignment horizontal="center" vertical="center" textRotation="90"/>
    </xf>
    <xf numFmtId="0" fontId="1" fillId="6" borderId="1" xfId="0" applyFont="1" applyFill="1" applyBorder="1" applyAlignment="1">
      <alignment horizontal="center" vertical="center"/>
    </xf>
    <xf numFmtId="0" fontId="1" fillId="15" borderId="1" xfId="0" applyFont="1" applyFill="1" applyBorder="1" applyAlignment="1">
      <alignment horizontal="center" vertical="center"/>
    </xf>
    <xf numFmtId="11" fontId="2" fillId="0" borderId="0" xfId="0" applyNumberFormat="1" applyFont="1" applyBorder="1" applyAlignment="1">
      <alignment horizontal="center"/>
    </xf>
    <xf numFmtId="2" fontId="0" fillId="15" borderId="4" xfId="0" applyNumberFormat="1" applyFill="1" applyBorder="1" applyAlignment="1">
      <alignment horizontal="center"/>
    </xf>
    <xf numFmtId="2" fontId="0" fillId="15" borderId="6" xfId="0" applyNumberFormat="1" applyFill="1" applyBorder="1" applyAlignment="1">
      <alignment horizontal="center"/>
    </xf>
    <xf numFmtId="0" fontId="1" fillId="15" borderId="2" xfId="0" applyFont="1" applyFill="1" applyBorder="1" applyAlignment="1">
      <alignment horizontal="center" vertical="center" wrapText="1"/>
    </xf>
    <xf numFmtId="0" fontId="1" fillId="15" borderId="3" xfId="0" applyFont="1" applyFill="1" applyBorder="1" applyAlignment="1">
      <alignment horizontal="center" vertical="center" wrapText="1"/>
    </xf>
    <xf numFmtId="0" fontId="1" fillId="15" borderId="4" xfId="0" applyFont="1" applyFill="1" applyBorder="1" applyAlignment="1">
      <alignment horizontal="center" vertical="center" wrapText="1"/>
    </xf>
    <xf numFmtId="0" fontId="1" fillId="15" borderId="5" xfId="0" applyFont="1" applyFill="1" applyBorder="1" applyAlignment="1">
      <alignment horizontal="center" vertical="center" wrapText="1"/>
    </xf>
    <xf numFmtId="0" fontId="1" fillId="15" borderId="0" xfId="0" applyFont="1" applyFill="1" applyBorder="1" applyAlignment="1">
      <alignment horizontal="center" vertical="center" wrapText="1"/>
    </xf>
    <xf numFmtId="0" fontId="1" fillId="15" borderId="6" xfId="0" applyFont="1" applyFill="1" applyBorder="1" applyAlignment="1">
      <alignment horizontal="center" vertical="center" wrapText="1"/>
    </xf>
    <xf numFmtId="0" fontId="1" fillId="15" borderId="7" xfId="0" applyFont="1" applyFill="1" applyBorder="1" applyAlignment="1">
      <alignment horizontal="center" vertical="center" wrapText="1"/>
    </xf>
    <xf numFmtId="0" fontId="1" fillId="15" borderId="8" xfId="0" applyFont="1" applyFill="1" applyBorder="1" applyAlignment="1">
      <alignment horizontal="center" vertical="center" wrapText="1"/>
    </xf>
    <xf numFmtId="0" fontId="1" fillId="15"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EEC4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D13C2-6798-4E98-83DA-4A18FB029883}">
  <dimension ref="B2:BG104"/>
  <sheetViews>
    <sheetView tabSelected="1" zoomScaleNormal="100" workbookViewId="0">
      <selection activeCell="G8" sqref="G8"/>
    </sheetView>
  </sheetViews>
  <sheetFormatPr defaultRowHeight="15" x14ac:dyDescent="0.25"/>
  <cols>
    <col min="2" max="2" width="26.5703125" style="2" bestFit="1" customWidth="1"/>
    <col min="3" max="3" width="26.28515625" bestFit="1" customWidth="1"/>
    <col min="4" max="4" width="27.7109375" bestFit="1" customWidth="1"/>
    <col min="5" max="6" width="23.140625" customWidth="1"/>
    <col min="7" max="7" width="14.140625" customWidth="1"/>
    <col min="9" max="9" width="15.140625" bestFit="1" customWidth="1"/>
    <col min="13" max="13" width="3.7109375" bestFit="1" customWidth="1"/>
    <col min="14" max="14" width="5.42578125" customWidth="1"/>
    <col min="15" max="15" width="25" bestFit="1" customWidth="1"/>
    <col min="16" max="16" width="11.42578125" bestFit="1" customWidth="1"/>
    <col min="48" max="48" width="12.42578125" customWidth="1"/>
    <col min="49" max="49" width="16.42578125" customWidth="1"/>
    <col min="50" max="50" width="22.28515625" customWidth="1"/>
    <col min="51" max="52" width="19.7109375" customWidth="1"/>
  </cols>
  <sheetData>
    <row r="2" spans="2:50" ht="15.75" thickBot="1" x14ac:dyDescent="0.3">
      <c r="C2" s="21"/>
    </row>
    <row r="3" spans="2:50" ht="15.75" thickBot="1" x14ac:dyDescent="0.3">
      <c r="C3" s="117" t="s">
        <v>53</v>
      </c>
      <c r="D3" s="118" t="s">
        <v>59</v>
      </c>
    </row>
    <row r="4" spans="2:50" x14ac:dyDescent="0.25">
      <c r="B4" s="3" t="s">
        <v>0</v>
      </c>
      <c r="C4" s="45">
        <v>0.1</v>
      </c>
      <c r="D4" s="45">
        <v>0.1</v>
      </c>
    </row>
    <row r="5" spans="2:50" x14ac:dyDescent="0.25">
      <c r="B5" s="4" t="s">
        <v>1</v>
      </c>
      <c r="C5" s="46">
        <v>0</v>
      </c>
      <c r="D5" s="46">
        <v>0</v>
      </c>
    </row>
    <row r="6" spans="2:50" x14ac:dyDescent="0.25">
      <c r="B6" s="4" t="s">
        <v>2</v>
      </c>
      <c r="C6" s="46">
        <v>0</v>
      </c>
      <c r="D6" s="46">
        <v>0</v>
      </c>
    </row>
    <row r="7" spans="2:50" ht="15.75" thickBot="1" x14ac:dyDescent="0.3">
      <c r="B7" s="5" t="s">
        <v>3</v>
      </c>
      <c r="C7" s="47">
        <v>30</v>
      </c>
      <c r="D7" s="47">
        <v>30</v>
      </c>
    </row>
    <row r="8" spans="2:50" ht="15.75" thickBot="1" x14ac:dyDescent="0.3"/>
    <row r="9" spans="2:50" ht="15.75" thickBot="1" x14ac:dyDescent="0.3">
      <c r="B9" s="39" t="s">
        <v>15</v>
      </c>
      <c r="C9" s="92">
        <v>10</v>
      </c>
      <c r="D9" s="92">
        <v>10</v>
      </c>
      <c r="E9" s="1"/>
      <c r="F9" s="1"/>
      <c r="G9" s="1"/>
      <c r="H9" s="1"/>
      <c r="I9" s="1"/>
      <c r="J9" s="1"/>
      <c r="K9" s="1"/>
    </row>
    <row r="10" spans="2:50" ht="15.75" thickBot="1" x14ac:dyDescent="0.3">
      <c r="B10" s="40" t="s">
        <v>16</v>
      </c>
      <c r="C10" s="93">
        <v>0</v>
      </c>
      <c r="D10" s="93">
        <v>0</v>
      </c>
      <c r="E10" s="1"/>
      <c r="F10" s="1"/>
      <c r="G10" s="1"/>
      <c r="H10" s="1"/>
      <c r="I10" s="1"/>
      <c r="J10" s="1"/>
      <c r="K10" s="1"/>
      <c r="AV10" s="80" t="s">
        <v>9</v>
      </c>
      <c r="AW10" s="71" t="s">
        <v>10</v>
      </c>
      <c r="AX10" s="80" t="s">
        <v>11</v>
      </c>
    </row>
    <row r="11" spans="2:50" ht="15.75" thickBot="1" x14ac:dyDescent="0.3">
      <c r="B11" s="40" t="s">
        <v>17</v>
      </c>
      <c r="C11" s="93">
        <v>1</v>
      </c>
      <c r="D11" s="93">
        <v>1</v>
      </c>
      <c r="E11" s="1"/>
      <c r="F11" s="1"/>
      <c r="G11" s="1"/>
      <c r="H11" s="1"/>
      <c r="I11" s="1"/>
      <c r="J11" s="1"/>
      <c r="K11" s="1"/>
      <c r="L11" s="1"/>
      <c r="M11" s="1"/>
      <c r="N11" s="1"/>
      <c r="O11" s="30" t="s">
        <v>5</v>
      </c>
      <c r="P11" s="27">
        <v>0</v>
      </c>
      <c r="Q11" s="28">
        <v>1</v>
      </c>
      <c r="R11" s="28">
        <v>2</v>
      </c>
      <c r="S11" s="28">
        <v>3</v>
      </c>
      <c r="T11" s="28">
        <v>4</v>
      </c>
      <c r="U11" s="28">
        <v>5</v>
      </c>
      <c r="V11" s="28">
        <v>6</v>
      </c>
      <c r="W11" s="28">
        <v>7</v>
      </c>
      <c r="X11" s="28">
        <v>8</v>
      </c>
      <c r="Y11" s="28">
        <v>9</v>
      </c>
      <c r="Z11" s="28">
        <v>10</v>
      </c>
      <c r="AA11" s="28">
        <v>11</v>
      </c>
      <c r="AB11" s="28">
        <v>12</v>
      </c>
      <c r="AC11" s="28">
        <v>13</v>
      </c>
      <c r="AD11" s="28">
        <v>14</v>
      </c>
      <c r="AE11" s="28">
        <v>15</v>
      </c>
      <c r="AF11" s="28">
        <v>16</v>
      </c>
      <c r="AG11" s="28">
        <v>17</v>
      </c>
      <c r="AH11" s="28">
        <v>18</v>
      </c>
      <c r="AI11" s="28">
        <v>19</v>
      </c>
      <c r="AJ11" s="28">
        <v>20</v>
      </c>
      <c r="AK11" s="28">
        <v>21</v>
      </c>
      <c r="AL11" s="28">
        <v>22</v>
      </c>
      <c r="AM11" s="28">
        <v>23</v>
      </c>
      <c r="AN11" s="28">
        <v>24</v>
      </c>
      <c r="AO11" s="28">
        <v>25</v>
      </c>
      <c r="AP11" s="28">
        <v>26</v>
      </c>
      <c r="AQ11" s="28">
        <v>27</v>
      </c>
      <c r="AR11" s="28">
        <v>28</v>
      </c>
      <c r="AS11" s="28">
        <v>29</v>
      </c>
      <c r="AT11" s="29">
        <v>30</v>
      </c>
      <c r="AV11" s="81"/>
      <c r="AW11" s="72"/>
      <c r="AX11" s="81"/>
    </row>
    <row r="12" spans="2:50" x14ac:dyDescent="0.25">
      <c r="B12" s="40" t="s">
        <v>18</v>
      </c>
      <c r="C12" s="93">
        <v>1</v>
      </c>
      <c r="D12" s="93">
        <v>1</v>
      </c>
      <c r="E12" s="1"/>
      <c r="F12" s="1"/>
      <c r="G12" s="1"/>
      <c r="H12" s="1"/>
      <c r="I12" s="1"/>
      <c r="J12" s="1"/>
      <c r="K12" s="1"/>
      <c r="L12" s="1"/>
      <c r="M12" s="1"/>
      <c r="N12" s="1"/>
      <c r="O12" s="31" t="s">
        <v>6</v>
      </c>
      <c r="P12" s="22">
        <f>1-$C$5</f>
        <v>1</v>
      </c>
      <c r="Q12" s="9">
        <f t="shared" ref="Q12:AT12" si="0">1-$C$5</f>
        <v>1</v>
      </c>
      <c r="R12" s="9">
        <f t="shared" si="0"/>
        <v>1</v>
      </c>
      <c r="S12" s="9">
        <f t="shared" si="0"/>
        <v>1</v>
      </c>
      <c r="T12" s="9">
        <f t="shared" si="0"/>
        <v>1</v>
      </c>
      <c r="U12" s="9">
        <f t="shared" si="0"/>
        <v>1</v>
      </c>
      <c r="V12" s="9">
        <f t="shared" si="0"/>
        <v>1</v>
      </c>
      <c r="W12" s="9">
        <f t="shared" si="0"/>
        <v>1</v>
      </c>
      <c r="X12" s="9">
        <f t="shared" si="0"/>
        <v>1</v>
      </c>
      <c r="Y12" s="9">
        <f t="shared" si="0"/>
        <v>1</v>
      </c>
      <c r="Z12" s="9">
        <f t="shared" si="0"/>
        <v>1</v>
      </c>
      <c r="AA12" s="9">
        <f t="shared" si="0"/>
        <v>1</v>
      </c>
      <c r="AB12" s="9">
        <f t="shared" si="0"/>
        <v>1</v>
      </c>
      <c r="AC12" s="9">
        <f t="shared" si="0"/>
        <v>1</v>
      </c>
      <c r="AD12" s="9">
        <f t="shared" si="0"/>
        <v>1</v>
      </c>
      <c r="AE12" s="9">
        <f t="shared" si="0"/>
        <v>1</v>
      </c>
      <c r="AF12" s="9">
        <f t="shared" si="0"/>
        <v>1</v>
      </c>
      <c r="AG12" s="9">
        <f t="shared" si="0"/>
        <v>1</v>
      </c>
      <c r="AH12" s="9">
        <f t="shared" si="0"/>
        <v>1</v>
      </c>
      <c r="AI12" s="9">
        <f t="shared" si="0"/>
        <v>1</v>
      </c>
      <c r="AJ12" s="9">
        <f t="shared" si="0"/>
        <v>1</v>
      </c>
      <c r="AK12" s="9">
        <f t="shared" si="0"/>
        <v>1</v>
      </c>
      <c r="AL12" s="9">
        <f t="shared" si="0"/>
        <v>1</v>
      </c>
      <c r="AM12" s="9">
        <f t="shared" si="0"/>
        <v>1</v>
      </c>
      <c r="AN12" s="9">
        <f t="shared" si="0"/>
        <v>1</v>
      </c>
      <c r="AO12" s="9">
        <f t="shared" si="0"/>
        <v>1</v>
      </c>
      <c r="AP12" s="9">
        <f t="shared" si="0"/>
        <v>1</v>
      </c>
      <c r="AQ12" s="9">
        <f t="shared" si="0"/>
        <v>1</v>
      </c>
      <c r="AR12" s="9">
        <f t="shared" si="0"/>
        <v>1</v>
      </c>
      <c r="AS12" s="9">
        <f t="shared" si="0"/>
        <v>1</v>
      </c>
      <c r="AT12" s="11">
        <f t="shared" si="0"/>
        <v>1</v>
      </c>
      <c r="AV12" s="81"/>
      <c r="AW12" s="72"/>
      <c r="AX12" s="81"/>
    </row>
    <row r="13" spans="2:50" ht="15.75" thickBot="1" x14ac:dyDescent="0.3">
      <c r="B13" s="40" t="s">
        <v>19</v>
      </c>
      <c r="C13" s="93">
        <v>2899.9</v>
      </c>
      <c r="D13" s="93">
        <v>2899.9</v>
      </c>
      <c r="E13" s="1"/>
      <c r="F13" s="1"/>
      <c r="G13" s="1"/>
      <c r="H13" s="1"/>
      <c r="I13" s="1"/>
      <c r="J13" s="1"/>
      <c r="K13" s="1"/>
      <c r="L13" s="1"/>
      <c r="M13" s="1"/>
      <c r="N13" s="1"/>
      <c r="O13" s="32" t="s">
        <v>7</v>
      </c>
      <c r="P13" s="23">
        <f t="shared" ref="P13:AT13" si="1">(1+$C$4)^(-1*P$11)</f>
        <v>1</v>
      </c>
      <c r="Q13" s="12">
        <f t="shared" si="1"/>
        <v>0.90909090909090906</v>
      </c>
      <c r="R13" s="12">
        <f t="shared" si="1"/>
        <v>0.82644628099173545</v>
      </c>
      <c r="S13" s="12">
        <f t="shared" si="1"/>
        <v>0.75131480090157754</v>
      </c>
      <c r="T13" s="12">
        <f t="shared" si="1"/>
        <v>0.68301345536507052</v>
      </c>
      <c r="U13" s="12">
        <f t="shared" si="1"/>
        <v>0.62092132305915493</v>
      </c>
      <c r="V13" s="12">
        <f t="shared" si="1"/>
        <v>0.56447393005377722</v>
      </c>
      <c r="W13" s="12">
        <f t="shared" si="1"/>
        <v>0.51315811823070645</v>
      </c>
      <c r="X13" s="12">
        <f t="shared" si="1"/>
        <v>0.46650738020973315</v>
      </c>
      <c r="Y13" s="12">
        <f t="shared" si="1"/>
        <v>0.42409761837248466</v>
      </c>
      <c r="Z13" s="12">
        <f t="shared" si="1"/>
        <v>0.38554328942953148</v>
      </c>
      <c r="AA13" s="12">
        <f t="shared" si="1"/>
        <v>0.3504938994813922</v>
      </c>
      <c r="AB13" s="12">
        <f t="shared" si="1"/>
        <v>0.31863081771035656</v>
      </c>
      <c r="AC13" s="12">
        <f t="shared" si="1"/>
        <v>0.28966437973668779</v>
      </c>
      <c r="AD13" s="12">
        <f t="shared" si="1"/>
        <v>0.26333125430607973</v>
      </c>
      <c r="AE13" s="12">
        <f t="shared" si="1"/>
        <v>0.23939204936916339</v>
      </c>
      <c r="AF13" s="12">
        <f t="shared" si="1"/>
        <v>0.21762913579014853</v>
      </c>
      <c r="AG13" s="12">
        <f t="shared" si="1"/>
        <v>0.19784466890013502</v>
      </c>
      <c r="AH13" s="12">
        <f t="shared" si="1"/>
        <v>0.17985878990921364</v>
      </c>
      <c r="AI13" s="12">
        <f t="shared" si="1"/>
        <v>0.16350799082655781</v>
      </c>
      <c r="AJ13" s="12">
        <f t="shared" si="1"/>
        <v>0.14864362802414349</v>
      </c>
      <c r="AK13" s="12">
        <f t="shared" si="1"/>
        <v>0.13513057093103953</v>
      </c>
      <c r="AL13" s="12">
        <f t="shared" si="1"/>
        <v>0.12284597357367227</v>
      </c>
      <c r="AM13" s="12">
        <f t="shared" si="1"/>
        <v>0.11167815779424752</v>
      </c>
      <c r="AN13" s="12">
        <f t="shared" si="1"/>
        <v>0.10152559799477048</v>
      </c>
      <c r="AO13" s="12">
        <f t="shared" si="1"/>
        <v>9.2295998177064048E-2</v>
      </c>
      <c r="AP13" s="12">
        <f t="shared" si="1"/>
        <v>8.3905452888240042E-2</v>
      </c>
      <c r="AQ13" s="12">
        <f t="shared" si="1"/>
        <v>7.6277684443854576E-2</v>
      </c>
      <c r="AR13" s="12">
        <f t="shared" si="1"/>
        <v>6.9343349494413245E-2</v>
      </c>
      <c r="AS13" s="12">
        <f t="shared" si="1"/>
        <v>6.3039408631284766E-2</v>
      </c>
      <c r="AT13" s="13">
        <f t="shared" si="1"/>
        <v>5.7308553301167964E-2</v>
      </c>
      <c r="AV13" s="82"/>
      <c r="AW13" s="73"/>
      <c r="AX13" s="82"/>
    </row>
    <row r="14" spans="2:50" ht="15.75" thickBot="1" x14ac:dyDescent="0.3">
      <c r="B14" s="40" t="s">
        <v>20</v>
      </c>
      <c r="C14" s="93">
        <v>1</v>
      </c>
      <c r="D14" s="93">
        <v>1</v>
      </c>
      <c r="E14" s="1"/>
      <c r="F14" s="1"/>
      <c r="G14" s="1"/>
      <c r="H14" s="1"/>
      <c r="I14" s="1"/>
      <c r="J14" s="1"/>
      <c r="K14" s="1"/>
      <c r="L14" s="1"/>
      <c r="M14" s="1"/>
      <c r="N14" s="1"/>
      <c r="O14" s="1"/>
      <c r="P14" s="7"/>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V14" s="1"/>
      <c r="AW14" s="1"/>
      <c r="AX14" s="1"/>
    </row>
    <row r="15" spans="2:50" ht="15" customHeight="1" x14ac:dyDescent="0.25">
      <c r="B15" s="40" t="s">
        <v>21</v>
      </c>
      <c r="C15" s="93">
        <v>1</v>
      </c>
      <c r="D15" s="93">
        <v>1</v>
      </c>
      <c r="E15" s="1"/>
      <c r="F15" s="1"/>
      <c r="G15" s="108" t="s">
        <v>57</v>
      </c>
      <c r="H15" s="1"/>
      <c r="I15" s="48" t="s">
        <v>12</v>
      </c>
      <c r="J15" s="45">
        <v>10</v>
      </c>
      <c r="K15" s="1"/>
      <c r="L15" s="107" t="s">
        <v>55</v>
      </c>
      <c r="M15" s="74" t="s">
        <v>49</v>
      </c>
      <c r="N15" s="66" t="s">
        <v>44</v>
      </c>
      <c r="O15" s="33" t="s">
        <v>8</v>
      </c>
      <c r="P15" s="60">
        <v>1</v>
      </c>
      <c r="Q15" s="14">
        <v>0</v>
      </c>
      <c r="R15" s="14">
        <v>0</v>
      </c>
      <c r="S15" s="14">
        <v>0</v>
      </c>
      <c r="T15" s="14">
        <v>0</v>
      </c>
      <c r="U15" s="14">
        <v>0</v>
      </c>
      <c r="V15" s="14">
        <v>0</v>
      </c>
      <c r="W15" s="14">
        <v>0</v>
      </c>
      <c r="X15" s="14">
        <v>0</v>
      </c>
      <c r="Y15" s="14">
        <v>0</v>
      </c>
      <c r="Z15" s="14">
        <v>0</v>
      </c>
      <c r="AA15" s="14">
        <v>0</v>
      </c>
      <c r="AB15" s="14">
        <v>0</v>
      </c>
      <c r="AC15" s="14">
        <v>0</v>
      </c>
      <c r="AD15" s="14">
        <v>0</v>
      </c>
      <c r="AE15" s="14">
        <v>0</v>
      </c>
      <c r="AF15" s="14">
        <v>0</v>
      </c>
      <c r="AG15" s="14">
        <v>0</v>
      </c>
      <c r="AH15" s="14">
        <v>0</v>
      </c>
      <c r="AI15" s="14">
        <v>0</v>
      </c>
      <c r="AJ15" s="14">
        <v>0</v>
      </c>
      <c r="AK15" s="14">
        <v>0</v>
      </c>
      <c r="AL15" s="14">
        <v>0</v>
      </c>
      <c r="AM15" s="14">
        <v>0</v>
      </c>
      <c r="AN15" s="14">
        <v>0</v>
      </c>
      <c r="AO15" s="14">
        <v>0</v>
      </c>
      <c r="AP15" s="14">
        <v>0</v>
      </c>
      <c r="AQ15" s="14">
        <v>0</v>
      </c>
      <c r="AR15" s="14">
        <v>0</v>
      </c>
      <c r="AS15" s="14">
        <v>0</v>
      </c>
      <c r="AT15" s="14">
        <v>0</v>
      </c>
      <c r="AV15" s="1"/>
      <c r="AW15" s="1"/>
      <c r="AX15" s="1"/>
    </row>
    <row r="16" spans="2:50" x14ac:dyDescent="0.25">
      <c r="B16" s="40" t="s">
        <v>22</v>
      </c>
      <c r="C16" s="93" t="s">
        <v>4</v>
      </c>
      <c r="D16" s="93" t="s">
        <v>4</v>
      </c>
      <c r="E16" s="1"/>
      <c r="F16" s="1"/>
      <c r="G16" s="109"/>
      <c r="H16" s="1"/>
      <c r="I16" s="49" t="s">
        <v>13</v>
      </c>
      <c r="J16" s="46">
        <v>0</v>
      </c>
      <c r="K16" s="1"/>
      <c r="L16" s="86"/>
      <c r="M16" s="75"/>
      <c r="N16" s="67"/>
      <c r="O16" s="34" t="s">
        <v>48</v>
      </c>
      <c r="P16" s="11">
        <v>0</v>
      </c>
      <c r="Q16" s="38">
        <v>1</v>
      </c>
      <c r="R16" s="37">
        <v>1</v>
      </c>
      <c r="S16" s="37">
        <v>1</v>
      </c>
      <c r="T16" s="37">
        <v>1</v>
      </c>
      <c r="U16" s="37">
        <v>1</v>
      </c>
      <c r="V16" s="37">
        <v>1</v>
      </c>
      <c r="W16" s="37">
        <v>1</v>
      </c>
      <c r="X16" s="37">
        <v>1</v>
      </c>
      <c r="Y16" s="37">
        <v>1</v>
      </c>
      <c r="Z16" s="9">
        <v>0</v>
      </c>
      <c r="AA16" s="9">
        <v>0</v>
      </c>
      <c r="AB16" s="9">
        <v>0</v>
      </c>
      <c r="AC16" s="9">
        <v>0</v>
      </c>
      <c r="AD16" s="9">
        <v>0</v>
      </c>
      <c r="AE16" s="9">
        <v>0</v>
      </c>
      <c r="AF16" s="9">
        <v>0</v>
      </c>
      <c r="AG16" s="9">
        <v>0</v>
      </c>
      <c r="AH16" s="9">
        <v>0</v>
      </c>
      <c r="AI16" s="9">
        <v>0</v>
      </c>
      <c r="AJ16" s="9">
        <v>0</v>
      </c>
      <c r="AK16" s="9">
        <v>0</v>
      </c>
      <c r="AL16" s="9">
        <v>0</v>
      </c>
      <c r="AM16" s="9">
        <v>0</v>
      </c>
      <c r="AN16" s="9">
        <v>0</v>
      </c>
      <c r="AO16" s="9">
        <v>0</v>
      </c>
      <c r="AP16" s="9">
        <v>0</v>
      </c>
      <c r="AQ16" s="9">
        <v>0</v>
      </c>
      <c r="AR16" s="9">
        <v>0</v>
      </c>
      <c r="AS16" s="9">
        <v>0</v>
      </c>
      <c r="AT16" s="9">
        <v>0</v>
      </c>
      <c r="AV16" s="1"/>
      <c r="AW16" s="1"/>
      <c r="AX16" s="1"/>
    </row>
    <row r="17" spans="2:59" ht="15.75" thickBot="1" x14ac:dyDescent="0.3">
      <c r="B17" s="40" t="s">
        <v>23</v>
      </c>
      <c r="C17" s="93" t="s">
        <v>4</v>
      </c>
      <c r="D17" s="93" t="s">
        <v>4</v>
      </c>
      <c r="E17" s="1"/>
      <c r="F17" s="1"/>
      <c r="G17" s="109"/>
      <c r="H17" s="1"/>
      <c r="I17" s="50" t="s">
        <v>14</v>
      </c>
      <c r="J17" s="47">
        <v>1</v>
      </c>
      <c r="K17" s="1"/>
      <c r="L17" s="86"/>
      <c r="M17" s="75"/>
      <c r="N17" s="67"/>
      <c r="O17" s="61" t="s">
        <v>47</v>
      </c>
      <c r="P17" s="11">
        <v>0</v>
      </c>
      <c r="Q17" s="38">
        <v>1</v>
      </c>
      <c r="R17" s="37">
        <v>1</v>
      </c>
      <c r="S17" s="37">
        <v>1</v>
      </c>
      <c r="T17" s="37">
        <v>1</v>
      </c>
      <c r="U17" s="37">
        <v>1</v>
      </c>
      <c r="V17" s="37">
        <v>1</v>
      </c>
      <c r="W17" s="37">
        <v>1</v>
      </c>
      <c r="X17" s="37">
        <v>1</v>
      </c>
      <c r="Y17" s="37">
        <v>1</v>
      </c>
      <c r="Z17" s="9">
        <v>0</v>
      </c>
      <c r="AA17" s="9">
        <v>0</v>
      </c>
      <c r="AB17" s="9">
        <v>0</v>
      </c>
      <c r="AC17" s="9">
        <v>0</v>
      </c>
      <c r="AD17" s="9">
        <v>0</v>
      </c>
      <c r="AE17" s="9">
        <v>0</v>
      </c>
      <c r="AF17" s="9">
        <v>0</v>
      </c>
      <c r="AG17" s="9">
        <v>0</v>
      </c>
      <c r="AH17" s="9">
        <v>0</v>
      </c>
      <c r="AI17" s="9">
        <v>0</v>
      </c>
      <c r="AJ17" s="9">
        <v>0</v>
      </c>
      <c r="AK17" s="9">
        <v>0</v>
      </c>
      <c r="AL17" s="9">
        <v>0</v>
      </c>
      <c r="AM17" s="9">
        <v>0</v>
      </c>
      <c r="AN17" s="9">
        <v>0</v>
      </c>
      <c r="AO17" s="9">
        <v>0</v>
      </c>
      <c r="AP17" s="9">
        <v>0</v>
      </c>
      <c r="AQ17" s="9">
        <v>0</v>
      </c>
      <c r="AR17" s="9">
        <v>0</v>
      </c>
      <c r="AS17" s="9">
        <v>0</v>
      </c>
      <c r="AT17" s="9">
        <v>0</v>
      </c>
    </row>
    <row r="18" spans="2:59" ht="15.75" thickBot="1" x14ac:dyDescent="0.3">
      <c r="B18" s="41" t="s">
        <v>25</v>
      </c>
      <c r="C18" s="94" t="b">
        <v>0</v>
      </c>
      <c r="D18" s="94" t="b">
        <v>0</v>
      </c>
      <c r="E18" s="1"/>
      <c r="F18" s="1"/>
      <c r="G18" s="109"/>
      <c r="H18" s="1"/>
      <c r="I18" s="6"/>
      <c r="J18" s="1"/>
      <c r="K18" s="1"/>
      <c r="L18" s="86"/>
      <c r="M18" s="75"/>
      <c r="N18" s="67"/>
      <c r="O18" s="56" t="s">
        <v>24</v>
      </c>
      <c r="P18" s="57">
        <f t="shared" ref="P18:AT18" si="2">$C$12*$C$13/$C$14*P15*P13</f>
        <v>2899.9</v>
      </c>
      <c r="Q18" s="58">
        <f t="shared" si="2"/>
        <v>0</v>
      </c>
      <c r="R18" s="58">
        <f t="shared" si="2"/>
        <v>0</v>
      </c>
      <c r="S18" s="58">
        <f t="shared" si="2"/>
        <v>0</v>
      </c>
      <c r="T18" s="58">
        <f t="shared" si="2"/>
        <v>0</v>
      </c>
      <c r="U18" s="58">
        <f t="shared" si="2"/>
        <v>0</v>
      </c>
      <c r="V18" s="58">
        <f t="shared" si="2"/>
        <v>0</v>
      </c>
      <c r="W18" s="58">
        <f t="shared" si="2"/>
        <v>0</v>
      </c>
      <c r="X18" s="58">
        <f t="shared" si="2"/>
        <v>0</v>
      </c>
      <c r="Y18" s="58">
        <f t="shared" si="2"/>
        <v>0</v>
      </c>
      <c r="Z18" s="58">
        <f t="shared" si="2"/>
        <v>0</v>
      </c>
      <c r="AA18" s="58">
        <f t="shared" si="2"/>
        <v>0</v>
      </c>
      <c r="AB18" s="58">
        <f t="shared" si="2"/>
        <v>0</v>
      </c>
      <c r="AC18" s="58">
        <f t="shared" si="2"/>
        <v>0</v>
      </c>
      <c r="AD18" s="58">
        <f t="shared" si="2"/>
        <v>0</v>
      </c>
      <c r="AE18" s="58">
        <f t="shared" si="2"/>
        <v>0</v>
      </c>
      <c r="AF18" s="58">
        <f t="shared" si="2"/>
        <v>0</v>
      </c>
      <c r="AG18" s="58">
        <f t="shared" si="2"/>
        <v>0</v>
      </c>
      <c r="AH18" s="58">
        <f t="shared" si="2"/>
        <v>0</v>
      </c>
      <c r="AI18" s="58">
        <f t="shared" si="2"/>
        <v>0</v>
      </c>
      <c r="AJ18" s="58">
        <f t="shared" si="2"/>
        <v>0</v>
      </c>
      <c r="AK18" s="58">
        <f t="shared" si="2"/>
        <v>0</v>
      </c>
      <c r="AL18" s="58">
        <f t="shared" si="2"/>
        <v>0</v>
      </c>
      <c r="AM18" s="58">
        <f t="shared" si="2"/>
        <v>0</v>
      </c>
      <c r="AN18" s="58">
        <f t="shared" si="2"/>
        <v>0</v>
      </c>
      <c r="AO18" s="58">
        <f t="shared" si="2"/>
        <v>0</v>
      </c>
      <c r="AP18" s="58">
        <f t="shared" si="2"/>
        <v>0</v>
      </c>
      <c r="AQ18" s="58">
        <f t="shared" si="2"/>
        <v>0</v>
      </c>
      <c r="AR18" s="58">
        <f t="shared" si="2"/>
        <v>0</v>
      </c>
      <c r="AS18" s="58">
        <f t="shared" si="2"/>
        <v>0</v>
      </c>
      <c r="AT18" s="59">
        <f t="shared" si="2"/>
        <v>0</v>
      </c>
      <c r="AV18" s="54">
        <f>SUM(P18:AT18)</f>
        <v>2899.9</v>
      </c>
      <c r="AW18" s="88">
        <f>SUM(AV18:AV20)</f>
        <v>2928.6951190813761</v>
      </c>
      <c r="AX18" s="77">
        <f>SUM(AW18,AW25)</f>
        <v>2928.6951190813761</v>
      </c>
    </row>
    <row r="19" spans="2:59" x14ac:dyDescent="0.25">
      <c r="B19" s="39" t="s">
        <v>26</v>
      </c>
      <c r="C19" s="92">
        <v>1</v>
      </c>
      <c r="D19" s="92">
        <v>1</v>
      </c>
      <c r="E19" s="1"/>
      <c r="F19" s="1"/>
      <c r="G19" s="109"/>
      <c r="H19" s="1"/>
      <c r="L19" s="86"/>
      <c r="M19" s="75"/>
      <c r="N19" s="67"/>
      <c r="O19" s="35" t="s">
        <v>45</v>
      </c>
      <c r="P19" s="24">
        <f>$C$19*$C$20*P16*P12*P13</f>
        <v>0</v>
      </c>
      <c r="Q19" s="19">
        <f t="shared" ref="Q19:AT19" si="3">$C$19*$C$20*Q16*Q12*Q13</f>
        <v>45.454545454545453</v>
      </c>
      <c r="R19" s="7">
        <f t="shared" si="3"/>
        <v>41.322314049586772</v>
      </c>
      <c r="S19" s="7">
        <f t="shared" si="3"/>
        <v>37.565740045078876</v>
      </c>
      <c r="T19" s="7">
        <f t="shared" si="3"/>
        <v>34.150672768253528</v>
      </c>
      <c r="U19" s="7">
        <f t="shared" si="3"/>
        <v>31.046066152957746</v>
      </c>
      <c r="V19" s="7">
        <f t="shared" si="3"/>
        <v>28.22369650268886</v>
      </c>
      <c r="W19" s="7">
        <f t="shared" si="3"/>
        <v>25.657905911535323</v>
      </c>
      <c r="X19" s="7">
        <f t="shared" si="3"/>
        <v>23.325369010486657</v>
      </c>
      <c r="Y19" s="7">
        <f t="shared" si="3"/>
        <v>21.204880918624234</v>
      </c>
      <c r="Z19" s="7">
        <f t="shared" si="3"/>
        <v>0</v>
      </c>
      <c r="AA19" s="7">
        <f t="shared" si="3"/>
        <v>0</v>
      </c>
      <c r="AB19" s="7">
        <f t="shared" si="3"/>
        <v>0</v>
      </c>
      <c r="AC19" s="7">
        <f t="shared" si="3"/>
        <v>0</v>
      </c>
      <c r="AD19" s="7">
        <f t="shared" si="3"/>
        <v>0</v>
      </c>
      <c r="AE19" s="7">
        <f t="shared" si="3"/>
        <v>0</v>
      </c>
      <c r="AF19" s="7">
        <f t="shared" si="3"/>
        <v>0</v>
      </c>
      <c r="AG19" s="7">
        <f t="shared" si="3"/>
        <v>0</v>
      </c>
      <c r="AH19" s="7">
        <f t="shared" si="3"/>
        <v>0</v>
      </c>
      <c r="AI19" s="7">
        <f t="shared" si="3"/>
        <v>0</v>
      </c>
      <c r="AJ19" s="7">
        <f t="shared" si="3"/>
        <v>0</v>
      </c>
      <c r="AK19" s="7">
        <f t="shared" si="3"/>
        <v>0</v>
      </c>
      <c r="AL19" s="7">
        <f t="shared" si="3"/>
        <v>0</v>
      </c>
      <c r="AM19" s="7">
        <f t="shared" si="3"/>
        <v>0</v>
      </c>
      <c r="AN19" s="7">
        <f t="shared" si="3"/>
        <v>0</v>
      </c>
      <c r="AO19" s="7">
        <f t="shared" si="3"/>
        <v>0</v>
      </c>
      <c r="AP19" s="7">
        <f t="shared" si="3"/>
        <v>0</v>
      </c>
      <c r="AQ19" s="7">
        <f t="shared" si="3"/>
        <v>0</v>
      </c>
      <c r="AR19" s="7">
        <f t="shared" si="3"/>
        <v>0</v>
      </c>
      <c r="AS19" s="7">
        <f t="shared" si="3"/>
        <v>0</v>
      </c>
      <c r="AT19" s="16">
        <f t="shared" si="3"/>
        <v>0</v>
      </c>
      <c r="AV19" s="62">
        <f>SUM(P19:AT19)</f>
        <v>287.95119081375742</v>
      </c>
      <c r="AW19" s="89"/>
      <c r="AX19" s="78"/>
    </row>
    <row r="20" spans="2:59" ht="15.75" thickBot="1" x14ac:dyDescent="0.3">
      <c r="B20" s="40" t="s">
        <v>27</v>
      </c>
      <c r="C20" s="93">
        <v>50</v>
      </c>
      <c r="D20" s="93">
        <v>50</v>
      </c>
      <c r="E20" s="1"/>
      <c r="F20" s="1"/>
      <c r="G20" s="109"/>
      <c r="H20" s="1"/>
      <c r="L20" s="86"/>
      <c r="M20" s="75"/>
      <c r="N20" s="67"/>
      <c r="O20" s="36" t="s">
        <v>46</v>
      </c>
      <c r="P20" s="25">
        <f>$C$23*$C$24*P17*P12*P13</f>
        <v>0</v>
      </c>
      <c r="Q20" s="17">
        <f t="shared" ref="Q20:AT20" si="4">$C$23*$C$24*Q16*Q12*Q13</f>
        <v>-40.909090909090907</v>
      </c>
      <c r="R20" s="17">
        <f t="shared" si="4"/>
        <v>-37.190082644628092</v>
      </c>
      <c r="S20" s="17">
        <f t="shared" si="4"/>
        <v>-33.809166040570986</v>
      </c>
      <c r="T20" s="17">
        <f t="shared" si="4"/>
        <v>-30.735605491428174</v>
      </c>
      <c r="U20" s="17">
        <f t="shared" si="4"/>
        <v>-27.94145953766197</v>
      </c>
      <c r="V20" s="17">
        <f t="shared" si="4"/>
        <v>-25.401326852419974</v>
      </c>
      <c r="W20" s="17">
        <f t="shared" si="4"/>
        <v>-23.09211532038179</v>
      </c>
      <c r="X20" s="17">
        <f t="shared" si="4"/>
        <v>-20.992832109437991</v>
      </c>
      <c r="Y20" s="17">
        <f t="shared" si="4"/>
        <v>-19.08439282676181</v>
      </c>
      <c r="Z20" s="17">
        <f t="shared" si="4"/>
        <v>0</v>
      </c>
      <c r="AA20" s="17">
        <f t="shared" si="4"/>
        <v>0</v>
      </c>
      <c r="AB20" s="17">
        <f t="shared" si="4"/>
        <v>0</v>
      </c>
      <c r="AC20" s="17">
        <f t="shared" si="4"/>
        <v>0</v>
      </c>
      <c r="AD20" s="17">
        <f t="shared" si="4"/>
        <v>0</v>
      </c>
      <c r="AE20" s="17">
        <f t="shared" si="4"/>
        <v>0</v>
      </c>
      <c r="AF20" s="17">
        <f t="shared" si="4"/>
        <v>0</v>
      </c>
      <c r="AG20" s="17">
        <f t="shared" si="4"/>
        <v>0</v>
      </c>
      <c r="AH20" s="17">
        <f t="shared" si="4"/>
        <v>0</v>
      </c>
      <c r="AI20" s="17">
        <f t="shared" si="4"/>
        <v>0</v>
      </c>
      <c r="AJ20" s="17">
        <f t="shared" si="4"/>
        <v>0</v>
      </c>
      <c r="AK20" s="17">
        <f t="shared" si="4"/>
        <v>0</v>
      </c>
      <c r="AL20" s="17">
        <f t="shared" si="4"/>
        <v>0</v>
      </c>
      <c r="AM20" s="17">
        <f t="shared" si="4"/>
        <v>0</v>
      </c>
      <c r="AN20" s="17">
        <f t="shared" si="4"/>
        <v>0</v>
      </c>
      <c r="AO20" s="17">
        <f t="shared" si="4"/>
        <v>0</v>
      </c>
      <c r="AP20" s="17">
        <f t="shared" si="4"/>
        <v>0</v>
      </c>
      <c r="AQ20" s="17">
        <f t="shared" si="4"/>
        <v>0</v>
      </c>
      <c r="AR20" s="17">
        <f t="shared" si="4"/>
        <v>0</v>
      </c>
      <c r="AS20" s="17">
        <f t="shared" si="4"/>
        <v>0</v>
      </c>
      <c r="AT20" s="18">
        <f t="shared" si="4"/>
        <v>0</v>
      </c>
      <c r="AV20" s="55">
        <f>SUM(P20:AT20)</f>
        <v>-259.15607173238163</v>
      </c>
      <c r="AW20" s="90"/>
      <c r="AX20" s="78"/>
    </row>
    <row r="21" spans="2:59" x14ac:dyDescent="0.25">
      <c r="B21" s="40" t="s">
        <v>28</v>
      </c>
      <c r="C21" s="93" t="s">
        <v>4</v>
      </c>
      <c r="D21" s="93" t="s">
        <v>4</v>
      </c>
      <c r="E21" s="1"/>
      <c r="F21" s="1"/>
      <c r="G21" s="109"/>
      <c r="H21" s="1"/>
      <c r="I21" s="51" t="s">
        <v>12</v>
      </c>
      <c r="J21" s="45">
        <v>20</v>
      </c>
      <c r="L21" s="86"/>
      <c r="M21" s="75"/>
      <c r="N21" s="68" t="s">
        <v>43</v>
      </c>
      <c r="O21" s="33" t="s">
        <v>8</v>
      </c>
      <c r="P21" s="15">
        <v>0</v>
      </c>
      <c r="Q21" s="14">
        <v>0</v>
      </c>
      <c r="R21" s="14">
        <v>0</v>
      </c>
      <c r="S21" s="14">
        <v>0</v>
      </c>
      <c r="T21" s="14">
        <v>0</v>
      </c>
      <c r="U21" s="14">
        <v>0</v>
      </c>
      <c r="V21" s="14">
        <v>0</v>
      </c>
      <c r="W21" s="14">
        <v>0</v>
      </c>
      <c r="X21" s="14">
        <v>0</v>
      </c>
      <c r="Y21" s="14">
        <v>0</v>
      </c>
      <c r="Z21" s="38">
        <v>1</v>
      </c>
      <c r="AA21" s="14">
        <v>0</v>
      </c>
      <c r="AB21" s="14">
        <v>0</v>
      </c>
      <c r="AC21" s="14">
        <v>0</v>
      </c>
      <c r="AD21" s="14">
        <v>0</v>
      </c>
      <c r="AE21" s="14">
        <v>0</v>
      </c>
      <c r="AF21" s="14">
        <v>0</v>
      </c>
      <c r="AG21" s="14">
        <v>0</v>
      </c>
      <c r="AH21" s="14">
        <v>0</v>
      </c>
      <c r="AI21" s="14">
        <v>0</v>
      </c>
      <c r="AJ21" s="14">
        <v>0</v>
      </c>
      <c r="AK21" s="14">
        <v>0</v>
      </c>
      <c r="AL21" s="14">
        <v>0</v>
      </c>
      <c r="AM21" s="14">
        <v>0</v>
      </c>
      <c r="AN21" s="14">
        <v>0</v>
      </c>
      <c r="AO21" s="14">
        <v>0</v>
      </c>
      <c r="AP21" s="14">
        <v>0</v>
      </c>
      <c r="AQ21" s="14">
        <v>0</v>
      </c>
      <c r="AR21" s="14">
        <v>0</v>
      </c>
      <c r="AS21" s="14">
        <v>0</v>
      </c>
      <c r="AT21" s="14">
        <v>0</v>
      </c>
      <c r="AX21" s="78"/>
    </row>
    <row r="22" spans="2:59" ht="15.75" thickBot="1" x14ac:dyDescent="0.3">
      <c r="B22" s="41" t="s">
        <v>29</v>
      </c>
      <c r="C22" s="94" t="b">
        <v>1</v>
      </c>
      <c r="D22" s="94" t="b">
        <v>1</v>
      </c>
      <c r="E22" s="64"/>
      <c r="F22" s="1"/>
      <c r="G22" s="109"/>
      <c r="H22" s="1"/>
      <c r="I22" s="52" t="s">
        <v>13</v>
      </c>
      <c r="J22" s="46">
        <v>10</v>
      </c>
      <c r="L22" s="86"/>
      <c r="M22" s="75"/>
      <c r="N22" s="69"/>
      <c r="O22" s="34" t="s">
        <v>48</v>
      </c>
      <c r="P22" s="11">
        <v>0</v>
      </c>
      <c r="Q22" s="9">
        <v>0</v>
      </c>
      <c r="R22" s="9">
        <v>0</v>
      </c>
      <c r="S22" s="9">
        <v>0</v>
      </c>
      <c r="T22" s="9">
        <v>0</v>
      </c>
      <c r="U22" s="9">
        <v>0</v>
      </c>
      <c r="V22" s="9">
        <v>0</v>
      </c>
      <c r="W22" s="9">
        <v>0</v>
      </c>
      <c r="X22" s="9">
        <v>0</v>
      </c>
      <c r="Y22" s="9">
        <v>0</v>
      </c>
      <c r="Z22" s="9">
        <v>0</v>
      </c>
      <c r="AA22" s="38">
        <v>1</v>
      </c>
      <c r="AB22" s="37">
        <v>1</v>
      </c>
      <c r="AC22" s="37">
        <v>1</v>
      </c>
      <c r="AD22" s="37">
        <v>1</v>
      </c>
      <c r="AE22" s="37">
        <v>1</v>
      </c>
      <c r="AF22" s="37">
        <v>1</v>
      </c>
      <c r="AG22" s="37">
        <v>1</v>
      </c>
      <c r="AH22" s="37">
        <v>1</v>
      </c>
      <c r="AI22" s="37">
        <v>1</v>
      </c>
      <c r="AJ22" s="37">
        <v>1</v>
      </c>
      <c r="AK22" s="37">
        <v>1</v>
      </c>
      <c r="AL22" s="37">
        <v>1</v>
      </c>
      <c r="AM22" s="37">
        <v>1</v>
      </c>
      <c r="AN22" s="37">
        <v>1</v>
      </c>
      <c r="AO22" s="37">
        <v>1</v>
      </c>
      <c r="AP22" s="37">
        <v>1</v>
      </c>
      <c r="AQ22" s="37">
        <v>1</v>
      </c>
      <c r="AR22" s="37">
        <v>1</v>
      </c>
      <c r="AS22" s="37">
        <v>1</v>
      </c>
      <c r="AT22" s="9">
        <v>0</v>
      </c>
      <c r="AX22" s="78"/>
    </row>
    <row r="23" spans="2:59" ht="15.75" thickBot="1" x14ac:dyDescent="0.3">
      <c r="B23" s="39" t="s">
        <v>26</v>
      </c>
      <c r="C23" s="92">
        <v>1</v>
      </c>
      <c r="D23" s="120">
        <v>10</v>
      </c>
      <c r="E23" s="1"/>
      <c r="F23" s="1"/>
      <c r="G23" s="109"/>
      <c r="H23" s="1"/>
      <c r="I23" s="53" t="s">
        <v>14</v>
      </c>
      <c r="J23" s="47">
        <v>1</v>
      </c>
      <c r="L23" s="86"/>
      <c r="M23" s="75"/>
      <c r="N23" s="69"/>
      <c r="O23" s="61" t="s">
        <v>47</v>
      </c>
      <c r="P23" s="11">
        <v>0</v>
      </c>
      <c r="Q23" s="9">
        <v>0</v>
      </c>
      <c r="R23" s="9">
        <v>0</v>
      </c>
      <c r="S23" s="9">
        <v>0</v>
      </c>
      <c r="T23" s="9">
        <v>0</v>
      </c>
      <c r="U23" s="9">
        <v>0</v>
      </c>
      <c r="V23" s="9">
        <v>0</v>
      </c>
      <c r="W23" s="9">
        <v>0</v>
      </c>
      <c r="X23" s="9">
        <v>0</v>
      </c>
      <c r="Y23" s="9">
        <v>0</v>
      </c>
      <c r="Z23" s="9">
        <v>0</v>
      </c>
      <c r="AA23" s="38">
        <v>1</v>
      </c>
      <c r="AB23" s="37">
        <v>1</v>
      </c>
      <c r="AC23" s="37">
        <v>1</v>
      </c>
      <c r="AD23" s="37">
        <v>1</v>
      </c>
      <c r="AE23" s="37">
        <v>1</v>
      </c>
      <c r="AF23" s="37">
        <v>1</v>
      </c>
      <c r="AG23" s="37">
        <v>1</v>
      </c>
      <c r="AH23" s="37">
        <v>1</v>
      </c>
      <c r="AI23" s="37">
        <v>1</v>
      </c>
      <c r="AJ23" s="37">
        <v>1</v>
      </c>
      <c r="AK23" s="37">
        <v>1</v>
      </c>
      <c r="AL23" s="37">
        <v>1</v>
      </c>
      <c r="AM23" s="37">
        <v>1</v>
      </c>
      <c r="AN23" s="37">
        <v>1</v>
      </c>
      <c r="AO23" s="37">
        <v>1</v>
      </c>
      <c r="AP23" s="37">
        <v>1</v>
      </c>
      <c r="AQ23" s="37">
        <v>1</v>
      </c>
      <c r="AR23" s="37">
        <v>1</v>
      </c>
      <c r="AS23" s="37">
        <v>1</v>
      </c>
      <c r="AT23" s="9">
        <v>0</v>
      </c>
      <c r="AX23" s="78"/>
    </row>
    <row r="24" spans="2:59" x14ac:dyDescent="0.25">
      <c r="B24" s="40" t="s">
        <v>27</v>
      </c>
      <c r="C24" s="93">
        <v>-45</v>
      </c>
      <c r="D24" s="93">
        <v>-45</v>
      </c>
      <c r="E24" s="1"/>
      <c r="F24" s="1"/>
      <c r="G24" s="109"/>
      <c r="H24" s="1"/>
      <c r="L24" s="86"/>
      <c r="M24" s="75"/>
      <c r="N24" s="69"/>
      <c r="O24" s="56" t="s">
        <v>24</v>
      </c>
      <c r="P24" s="63">
        <f>$C$31*$C$32/$C$33*P21*P13</f>
        <v>0</v>
      </c>
      <c r="Q24" s="63">
        <f>$C$31*$C$32/$C$33*Q21*Q13</f>
        <v>0</v>
      </c>
      <c r="R24" s="58">
        <f t="shared" ref="R24:AT24" si="5">$C$31*$C$32/$C$33*R21*R13</f>
        <v>0</v>
      </c>
      <c r="S24" s="58">
        <f t="shared" si="5"/>
        <v>0</v>
      </c>
      <c r="T24" s="58">
        <f t="shared" si="5"/>
        <v>0</v>
      </c>
      <c r="U24" s="58">
        <f t="shared" si="5"/>
        <v>0</v>
      </c>
      <c r="V24" s="58">
        <f t="shared" si="5"/>
        <v>0</v>
      </c>
      <c r="W24" s="58">
        <f t="shared" si="5"/>
        <v>0</v>
      </c>
      <c r="X24" s="58">
        <f t="shared" si="5"/>
        <v>0</v>
      </c>
      <c r="Y24" s="58">
        <f t="shared" si="5"/>
        <v>0</v>
      </c>
      <c r="Z24" s="58">
        <f t="shared" si="5"/>
        <v>617.1969748832654</v>
      </c>
      <c r="AA24" s="58">
        <f t="shared" si="5"/>
        <v>0</v>
      </c>
      <c r="AB24" s="58">
        <f t="shared" si="5"/>
        <v>0</v>
      </c>
      <c r="AC24" s="58">
        <f t="shared" si="5"/>
        <v>0</v>
      </c>
      <c r="AD24" s="58">
        <f t="shared" si="5"/>
        <v>0</v>
      </c>
      <c r="AE24" s="58">
        <f t="shared" si="5"/>
        <v>0</v>
      </c>
      <c r="AF24" s="58">
        <f t="shared" si="5"/>
        <v>0</v>
      </c>
      <c r="AG24" s="58">
        <f t="shared" si="5"/>
        <v>0</v>
      </c>
      <c r="AH24" s="58">
        <f t="shared" si="5"/>
        <v>0</v>
      </c>
      <c r="AI24" s="58">
        <f t="shared" si="5"/>
        <v>0</v>
      </c>
      <c r="AJ24" s="58">
        <f t="shared" si="5"/>
        <v>0</v>
      </c>
      <c r="AK24" s="58">
        <f t="shared" si="5"/>
        <v>0</v>
      </c>
      <c r="AL24" s="58">
        <f t="shared" si="5"/>
        <v>0</v>
      </c>
      <c r="AM24" s="58">
        <f t="shared" si="5"/>
        <v>0</v>
      </c>
      <c r="AN24" s="58">
        <f t="shared" si="5"/>
        <v>0</v>
      </c>
      <c r="AO24" s="58">
        <f t="shared" si="5"/>
        <v>0</v>
      </c>
      <c r="AP24" s="58">
        <f t="shared" si="5"/>
        <v>0</v>
      </c>
      <c r="AQ24" s="58">
        <f t="shared" si="5"/>
        <v>0</v>
      </c>
      <c r="AR24" s="58">
        <f t="shared" si="5"/>
        <v>0</v>
      </c>
      <c r="AS24" s="58">
        <f t="shared" si="5"/>
        <v>0</v>
      </c>
      <c r="AT24" s="59">
        <f t="shared" si="5"/>
        <v>0</v>
      </c>
      <c r="AV24" s="54">
        <f>SUM(P24:AT24)</f>
        <v>617.1969748832654</v>
      </c>
      <c r="AW24" s="88">
        <f>SUM(AV24:AV26)</f>
        <v>552.69619872361613</v>
      </c>
      <c r="AX24" s="78"/>
    </row>
    <row r="25" spans="2:59" x14ac:dyDescent="0.25">
      <c r="B25" s="40" t="s">
        <v>28</v>
      </c>
      <c r="C25" s="93" t="s">
        <v>4</v>
      </c>
      <c r="D25" s="93" t="s">
        <v>4</v>
      </c>
      <c r="E25" s="1"/>
      <c r="F25" s="1"/>
      <c r="G25" s="109"/>
      <c r="H25" s="1"/>
      <c r="L25" s="86"/>
      <c r="M25" s="75"/>
      <c r="N25" s="69"/>
      <c r="O25" s="35" t="s">
        <v>45</v>
      </c>
      <c r="P25" s="19">
        <f>$C$37*$C$38*P22*P12*P13</f>
        <v>0</v>
      </c>
      <c r="Q25" s="19">
        <f>$C$37*$C$38*Q22*Q12*Q13</f>
        <v>0</v>
      </c>
      <c r="R25" s="7">
        <f t="shared" ref="R25:AT25" si="6">$C$37*$C$38*R22*R12*R13</f>
        <v>0</v>
      </c>
      <c r="S25" s="7">
        <f t="shared" si="6"/>
        <v>0</v>
      </c>
      <c r="T25" s="7">
        <f t="shared" si="6"/>
        <v>0</v>
      </c>
      <c r="U25" s="7">
        <f t="shared" si="6"/>
        <v>0</v>
      </c>
      <c r="V25" s="7">
        <f t="shared" si="6"/>
        <v>0</v>
      </c>
      <c r="W25" s="7">
        <f t="shared" si="6"/>
        <v>0</v>
      </c>
      <c r="X25" s="7">
        <f t="shared" si="6"/>
        <v>0</v>
      </c>
      <c r="Y25" s="7">
        <f t="shared" si="6"/>
        <v>0</v>
      </c>
      <c r="Z25" s="7">
        <f t="shared" si="6"/>
        <v>0</v>
      </c>
      <c r="AA25" s="7">
        <f t="shared" si="6"/>
        <v>8.7623474870348055</v>
      </c>
      <c r="AB25" s="7">
        <f t="shared" si="6"/>
        <v>7.965770442758914</v>
      </c>
      <c r="AC25" s="7">
        <f t="shared" si="6"/>
        <v>7.2416094934171946</v>
      </c>
      <c r="AD25" s="7">
        <f t="shared" si="6"/>
        <v>6.5832813576519928</v>
      </c>
      <c r="AE25" s="7">
        <f t="shared" si="6"/>
        <v>5.9848012342290851</v>
      </c>
      <c r="AF25" s="7">
        <f t="shared" si="6"/>
        <v>5.4407283947537133</v>
      </c>
      <c r="AG25" s="7">
        <f t="shared" si="6"/>
        <v>4.9461167225033753</v>
      </c>
      <c r="AH25" s="7">
        <f t="shared" si="6"/>
        <v>4.496469747730341</v>
      </c>
      <c r="AI25" s="7">
        <f t="shared" si="6"/>
        <v>4.0876997706639457</v>
      </c>
      <c r="AJ25" s="7">
        <f t="shared" si="6"/>
        <v>3.7160907006035875</v>
      </c>
      <c r="AK25" s="7">
        <f t="shared" si="6"/>
        <v>3.3782642732759882</v>
      </c>
      <c r="AL25" s="7">
        <f t="shared" si="6"/>
        <v>3.0711493393418068</v>
      </c>
      <c r="AM25" s="7">
        <f t="shared" si="6"/>
        <v>2.7919539448561879</v>
      </c>
      <c r="AN25" s="7">
        <f t="shared" si="6"/>
        <v>2.5381399498692621</v>
      </c>
      <c r="AO25" s="7">
        <f t="shared" si="6"/>
        <v>2.3073999544266011</v>
      </c>
      <c r="AP25" s="7">
        <f t="shared" si="6"/>
        <v>2.097636322206001</v>
      </c>
      <c r="AQ25" s="7">
        <f t="shared" si="6"/>
        <v>1.9069421110963645</v>
      </c>
      <c r="AR25" s="7">
        <f t="shared" si="6"/>
        <v>1.7335837373603311</v>
      </c>
      <c r="AS25" s="7">
        <f t="shared" si="6"/>
        <v>1.575985215782119</v>
      </c>
      <c r="AT25" s="16">
        <f t="shared" si="6"/>
        <v>0</v>
      </c>
      <c r="AV25" s="62">
        <f>SUM(P25:AT25)</f>
        <v>80.625970199561621</v>
      </c>
      <c r="AW25" s="89"/>
      <c r="AX25" s="78"/>
    </row>
    <row r="26" spans="2:59" ht="15.75" thickBot="1" x14ac:dyDescent="0.3">
      <c r="B26" s="41" t="s">
        <v>29</v>
      </c>
      <c r="C26" s="94" t="b">
        <v>1</v>
      </c>
      <c r="D26" s="94" t="b">
        <v>1</v>
      </c>
      <c r="E26" s="1"/>
      <c r="F26" s="1"/>
      <c r="G26" s="109"/>
      <c r="H26" s="1"/>
      <c r="L26" s="87"/>
      <c r="M26" s="76"/>
      <c r="N26" s="70"/>
      <c r="O26" s="36" t="s">
        <v>46</v>
      </c>
      <c r="P26" s="20">
        <f>$C$41*$C$42*P23*P12*P13</f>
        <v>0</v>
      </c>
      <c r="Q26" s="20">
        <f>$C$41*$C$42*Q23*Q12*Q13</f>
        <v>0</v>
      </c>
      <c r="R26" s="17">
        <f t="shared" ref="R26:AT26" si="7">$C$41*$C$42*R23*R12*R13</f>
        <v>0</v>
      </c>
      <c r="S26" s="17">
        <f t="shared" si="7"/>
        <v>0</v>
      </c>
      <c r="T26" s="17">
        <f t="shared" si="7"/>
        <v>0</v>
      </c>
      <c r="U26" s="17">
        <f t="shared" si="7"/>
        <v>0</v>
      </c>
      <c r="V26" s="17">
        <f t="shared" si="7"/>
        <v>0</v>
      </c>
      <c r="W26" s="17">
        <f t="shared" si="7"/>
        <v>0</v>
      </c>
      <c r="X26" s="17">
        <f t="shared" si="7"/>
        <v>0</v>
      </c>
      <c r="Y26" s="17">
        <f t="shared" si="7"/>
        <v>0</v>
      </c>
      <c r="Z26" s="17">
        <f t="shared" si="7"/>
        <v>0</v>
      </c>
      <c r="AA26" s="17">
        <f t="shared" si="7"/>
        <v>-15.77222547666265</v>
      </c>
      <c r="AB26" s="17">
        <f t="shared" si="7"/>
        <v>-14.338386796966045</v>
      </c>
      <c r="AC26" s="17">
        <f t="shared" si="7"/>
        <v>-13.03489708815095</v>
      </c>
      <c r="AD26" s="17">
        <f t="shared" si="7"/>
        <v>-11.849906443773587</v>
      </c>
      <c r="AE26" s="17">
        <f t="shared" si="7"/>
        <v>-10.772642221612353</v>
      </c>
      <c r="AF26" s="17">
        <f t="shared" si="7"/>
        <v>-9.793311110556683</v>
      </c>
      <c r="AG26" s="17">
        <f t="shared" si="7"/>
        <v>-8.9030101005060764</v>
      </c>
      <c r="AH26" s="17">
        <f t="shared" si="7"/>
        <v>-8.0936455459146135</v>
      </c>
      <c r="AI26" s="17">
        <f t="shared" si="7"/>
        <v>-7.3578595871951018</v>
      </c>
      <c r="AJ26" s="17">
        <f t="shared" si="7"/>
        <v>-6.6889632610864576</v>
      </c>
      <c r="AK26" s="17">
        <f t="shared" si="7"/>
        <v>-6.0808756918967788</v>
      </c>
      <c r="AL26" s="17">
        <f t="shared" si="7"/>
        <v>-5.5280688108152525</v>
      </c>
      <c r="AM26" s="17">
        <f t="shared" si="7"/>
        <v>-5.0255171007411379</v>
      </c>
      <c r="AN26" s="17">
        <f t="shared" si="7"/>
        <v>-4.5686519097646716</v>
      </c>
      <c r="AO26" s="17">
        <f t="shared" si="7"/>
        <v>-4.1533199179678819</v>
      </c>
      <c r="AP26" s="17">
        <f t="shared" si="7"/>
        <v>-3.7757453799708021</v>
      </c>
      <c r="AQ26" s="17">
        <f t="shared" si="7"/>
        <v>-3.4324957999734558</v>
      </c>
      <c r="AR26" s="17">
        <f t="shared" si="7"/>
        <v>-3.120450727248596</v>
      </c>
      <c r="AS26" s="17">
        <f t="shared" si="7"/>
        <v>-2.8367733884078143</v>
      </c>
      <c r="AT26" s="18">
        <f t="shared" si="7"/>
        <v>0</v>
      </c>
      <c r="AV26" s="55">
        <f>SUM(P26:AT26)</f>
        <v>-145.12674635921093</v>
      </c>
      <c r="AW26" s="90"/>
      <c r="AX26" s="79"/>
    </row>
    <row r="27" spans="2:59" ht="15.75" thickBot="1" x14ac:dyDescent="0.3">
      <c r="C27" s="91"/>
      <c r="D27" s="91"/>
      <c r="E27" s="1"/>
      <c r="G27" s="109"/>
    </row>
    <row r="28" spans="2:59" ht="15.75" thickBot="1" x14ac:dyDescent="0.3">
      <c r="B28" s="42" t="s">
        <v>30</v>
      </c>
      <c r="C28" s="92">
        <v>20</v>
      </c>
      <c r="D28" s="92">
        <v>20</v>
      </c>
      <c r="E28" s="1"/>
      <c r="G28" s="109"/>
      <c r="AY28" s="65" t="s">
        <v>50</v>
      </c>
      <c r="AZ28" s="65" t="s">
        <v>52</v>
      </c>
    </row>
    <row r="29" spans="2:59" ht="15" customHeight="1" x14ac:dyDescent="0.25">
      <c r="B29" s="43" t="s">
        <v>31</v>
      </c>
      <c r="C29" s="93">
        <v>10</v>
      </c>
      <c r="D29" s="93">
        <v>10</v>
      </c>
      <c r="G29" s="109"/>
      <c r="AY29" s="83">
        <f>AX18-AX35</f>
        <v>-1.927716447147759</v>
      </c>
      <c r="AZ29" s="95">
        <f>AY29/AX18</f>
        <v>-6.5821684018526748E-4</v>
      </c>
      <c r="BB29" s="98" t="s">
        <v>56</v>
      </c>
      <c r="BC29" s="99"/>
      <c r="BD29" s="99"/>
      <c r="BE29" s="99"/>
      <c r="BF29" s="99"/>
      <c r="BG29" s="100"/>
    </row>
    <row r="30" spans="2:59" x14ac:dyDescent="0.25">
      <c r="B30" s="43" t="s">
        <v>32</v>
      </c>
      <c r="C30" s="93">
        <v>1</v>
      </c>
      <c r="D30" s="93">
        <v>1</v>
      </c>
      <c r="G30" s="109"/>
      <c r="AY30" s="84"/>
      <c r="AZ30" s="96"/>
      <c r="BB30" s="101"/>
      <c r="BC30" s="102"/>
      <c r="BD30" s="102"/>
      <c r="BE30" s="102"/>
      <c r="BF30" s="102"/>
      <c r="BG30" s="103"/>
    </row>
    <row r="31" spans="2:59" ht="15.75" thickBot="1" x14ac:dyDescent="0.3">
      <c r="B31" s="43" t="s">
        <v>33</v>
      </c>
      <c r="C31" s="93">
        <v>1</v>
      </c>
      <c r="D31" s="93">
        <v>1</v>
      </c>
      <c r="G31" s="109"/>
      <c r="AY31" s="85"/>
      <c r="AZ31" s="97"/>
      <c r="BB31" s="104"/>
      <c r="BC31" s="105"/>
      <c r="BD31" s="105"/>
      <c r="BE31" s="105"/>
      <c r="BF31" s="105"/>
      <c r="BG31" s="106"/>
    </row>
    <row r="32" spans="2:59" ht="15" customHeight="1" x14ac:dyDescent="0.25">
      <c r="B32" s="43" t="s">
        <v>34</v>
      </c>
      <c r="C32" s="93">
        <v>1600.85</v>
      </c>
      <c r="D32" s="93">
        <v>1600.85</v>
      </c>
      <c r="G32" s="109"/>
      <c r="I32" s="48" t="s">
        <v>12</v>
      </c>
      <c r="J32" s="45">
        <v>10</v>
      </c>
      <c r="K32" s="1"/>
      <c r="L32" s="107" t="s">
        <v>54</v>
      </c>
      <c r="M32" s="74" t="s">
        <v>58</v>
      </c>
      <c r="N32" s="66" t="s">
        <v>44</v>
      </c>
      <c r="O32" s="33" t="s">
        <v>8</v>
      </c>
      <c r="P32" s="60">
        <v>1</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c r="AG32" s="14">
        <v>0</v>
      </c>
      <c r="AH32" s="14">
        <v>0</v>
      </c>
      <c r="AI32" s="14">
        <v>0</v>
      </c>
      <c r="AJ32" s="14">
        <v>0</v>
      </c>
      <c r="AK32" s="14">
        <v>0</v>
      </c>
      <c r="AL32" s="14">
        <v>0</v>
      </c>
      <c r="AM32" s="14">
        <v>0</v>
      </c>
      <c r="AN32" s="14">
        <v>0</v>
      </c>
      <c r="AO32" s="14">
        <v>0</v>
      </c>
      <c r="AP32" s="14">
        <v>0</v>
      </c>
      <c r="AQ32" s="14">
        <v>0</v>
      </c>
      <c r="AR32" s="14">
        <v>0</v>
      </c>
      <c r="AS32" s="14">
        <v>0</v>
      </c>
      <c r="AT32" s="14">
        <v>0</v>
      </c>
      <c r="AV32" s="1"/>
      <c r="AW32" s="1"/>
    </row>
    <row r="33" spans="2:50" x14ac:dyDescent="0.25">
      <c r="B33" s="43" t="s">
        <v>35</v>
      </c>
      <c r="C33" s="93">
        <v>1</v>
      </c>
      <c r="D33" s="93">
        <v>1</v>
      </c>
      <c r="G33" s="109"/>
      <c r="I33" s="49" t="s">
        <v>13</v>
      </c>
      <c r="J33" s="46">
        <v>0</v>
      </c>
      <c r="K33" s="1"/>
      <c r="L33" s="86"/>
      <c r="M33" s="75"/>
      <c r="N33" s="67"/>
      <c r="O33" s="34" t="s">
        <v>48</v>
      </c>
      <c r="P33" s="11">
        <v>0</v>
      </c>
      <c r="Q33" s="38">
        <v>1</v>
      </c>
      <c r="R33" s="37">
        <v>1</v>
      </c>
      <c r="S33" s="37">
        <v>1</v>
      </c>
      <c r="T33" s="37">
        <v>1</v>
      </c>
      <c r="U33" s="37">
        <v>1</v>
      </c>
      <c r="V33" s="37">
        <v>1</v>
      </c>
      <c r="W33" s="37">
        <v>1</v>
      </c>
      <c r="X33" s="37">
        <v>1</v>
      </c>
      <c r="Y33" s="37">
        <v>1</v>
      </c>
      <c r="Z33" s="37">
        <v>1</v>
      </c>
      <c r="AA33" s="9">
        <v>0</v>
      </c>
      <c r="AB33" s="9">
        <v>0</v>
      </c>
      <c r="AC33" s="9">
        <v>0</v>
      </c>
      <c r="AD33" s="9">
        <v>0</v>
      </c>
      <c r="AE33" s="9">
        <v>0</v>
      </c>
      <c r="AF33" s="9">
        <v>0</v>
      </c>
      <c r="AG33" s="9">
        <v>0</v>
      </c>
      <c r="AH33" s="9">
        <v>0</v>
      </c>
      <c r="AI33" s="9">
        <v>0</v>
      </c>
      <c r="AJ33" s="9">
        <v>0</v>
      </c>
      <c r="AK33" s="9">
        <v>0</v>
      </c>
      <c r="AL33" s="9">
        <v>0</v>
      </c>
      <c r="AM33" s="9">
        <v>0</v>
      </c>
      <c r="AN33" s="9">
        <v>0</v>
      </c>
      <c r="AO33" s="9">
        <v>0</v>
      </c>
      <c r="AP33" s="9">
        <v>0</v>
      </c>
      <c r="AQ33" s="9">
        <v>0</v>
      </c>
      <c r="AR33" s="9">
        <v>0</v>
      </c>
      <c r="AS33" s="9">
        <v>0</v>
      </c>
      <c r="AT33" s="9">
        <v>0</v>
      </c>
      <c r="AV33" s="1"/>
      <c r="AW33" s="1"/>
      <c r="AX33" s="1"/>
    </row>
    <row r="34" spans="2:50" ht="15.75" thickBot="1" x14ac:dyDescent="0.3">
      <c r="B34" s="43" t="s">
        <v>36</v>
      </c>
      <c r="C34" s="93">
        <v>1</v>
      </c>
      <c r="D34" s="93">
        <v>1</v>
      </c>
      <c r="G34" s="109"/>
      <c r="I34" s="50" t="s">
        <v>14</v>
      </c>
      <c r="J34" s="47">
        <v>1</v>
      </c>
      <c r="K34" s="1"/>
      <c r="L34" s="86"/>
      <c r="M34" s="75"/>
      <c r="N34" s="67"/>
      <c r="O34" s="61" t="s">
        <v>47</v>
      </c>
      <c r="P34" s="11">
        <v>0</v>
      </c>
      <c r="Q34" s="38">
        <v>1</v>
      </c>
      <c r="R34" s="37">
        <v>1</v>
      </c>
      <c r="S34" s="37">
        <v>1</v>
      </c>
      <c r="T34" s="37">
        <v>1</v>
      </c>
      <c r="U34" s="37">
        <v>1</v>
      </c>
      <c r="V34" s="37">
        <v>1</v>
      </c>
      <c r="W34" s="37">
        <v>1</v>
      </c>
      <c r="X34" s="37">
        <v>1</v>
      </c>
      <c r="Y34" s="37">
        <v>1</v>
      </c>
      <c r="Z34" s="37">
        <v>1</v>
      </c>
      <c r="AA34" s="9">
        <v>0</v>
      </c>
      <c r="AB34" s="9">
        <v>0</v>
      </c>
      <c r="AC34" s="9">
        <v>0</v>
      </c>
      <c r="AD34" s="9">
        <v>0</v>
      </c>
      <c r="AE34" s="9">
        <v>0</v>
      </c>
      <c r="AF34" s="9">
        <v>0</v>
      </c>
      <c r="AG34" s="9">
        <v>0</v>
      </c>
      <c r="AH34" s="9">
        <v>0</v>
      </c>
      <c r="AI34" s="9">
        <v>0</v>
      </c>
      <c r="AJ34" s="9">
        <v>0</v>
      </c>
      <c r="AK34" s="9">
        <v>0</v>
      </c>
      <c r="AL34" s="9">
        <v>0</v>
      </c>
      <c r="AM34" s="9">
        <v>0</v>
      </c>
      <c r="AN34" s="9">
        <v>0</v>
      </c>
      <c r="AO34" s="9">
        <v>0</v>
      </c>
      <c r="AP34" s="9">
        <v>0</v>
      </c>
      <c r="AQ34" s="9">
        <v>0</v>
      </c>
      <c r="AR34" s="9">
        <v>0</v>
      </c>
      <c r="AS34" s="9">
        <v>0</v>
      </c>
      <c r="AT34" s="9">
        <v>0</v>
      </c>
    </row>
    <row r="35" spans="2:50" x14ac:dyDescent="0.25">
      <c r="B35" s="43" t="s">
        <v>37</v>
      </c>
      <c r="C35" s="93" t="s">
        <v>4</v>
      </c>
      <c r="D35" s="93" t="s">
        <v>4</v>
      </c>
      <c r="G35" s="109"/>
      <c r="I35" s="6"/>
      <c r="J35" s="1"/>
      <c r="K35" s="1"/>
      <c r="L35" s="86"/>
      <c r="M35" s="75"/>
      <c r="N35" s="67"/>
      <c r="O35" s="56" t="s">
        <v>24</v>
      </c>
      <c r="P35" s="57">
        <f>$C$12*$C$13/$C$14*P$13*P$32</f>
        <v>2899.9</v>
      </c>
      <c r="Q35" s="58">
        <f>$C$12*$C$13/$C$14*Q$13*Q$32</f>
        <v>0</v>
      </c>
      <c r="R35" s="58">
        <f t="shared" ref="R35:AT35" si="8">$C$12*$C$13/$C$14*R$13*R$32</f>
        <v>0</v>
      </c>
      <c r="S35" s="58">
        <f t="shared" si="8"/>
        <v>0</v>
      </c>
      <c r="T35" s="58">
        <f t="shared" si="8"/>
        <v>0</v>
      </c>
      <c r="U35" s="58">
        <f t="shared" si="8"/>
        <v>0</v>
      </c>
      <c r="V35" s="58">
        <f t="shared" si="8"/>
        <v>0</v>
      </c>
      <c r="W35" s="58">
        <f t="shared" si="8"/>
        <v>0</v>
      </c>
      <c r="X35" s="58">
        <f t="shared" si="8"/>
        <v>0</v>
      </c>
      <c r="Y35" s="58">
        <f t="shared" si="8"/>
        <v>0</v>
      </c>
      <c r="Z35" s="58">
        <f t="shared" si="8"/>
        <v>0</v>
      </c>
      <c r="AA35" s="58">
        <f t="shared" si="8"/>
        <v>0</v>
      </c>
      <c r="AB35" s="58">
        <f t="shared" si="8"/>
        <v>0</v>
      </c>
      <c r="AC35" s="58">
        <f t="shared" si="8"/>
        <v>0</v>
      </c>
      <c r="AD35" s="58">
        <f t="shared" si="8"/>
        <v>0</v>
      </c>
      <c r="AE35" s="58">
        <f t="shared" si="8"/>
        <v>0</v>
      </c>
      <c r="AF35" s="58">
        <f t="shared" si="8"/>
        <v>0</v>
      </c>
      <c r="AG35" s="58">
        <f t="shared" si="8"/>
        <v>0</v>
      </c>
      <c r="AH35" s="58">
        <f t="shared" si="8"/>
        <v>0</v>
      </c>
      <c r="AI35" s="58">
        <f t="shared" si="8"/>
        <v>0</v>
      </c>
      <c r="AJ35" s="58">
        <f t="shared" si="8"/>
        <v>0</v>
      </c>
      <c r="AK35" s="58">
        <f t="shared" si="8"/>
        <v>0</v>
      </c>
      <c r="AL35" s="58">
        <f t="shared" si="8"/>
        <v>0</v>
      </c>
      <c r="AM35" s="58">
        <f t="shared" si="8"/>
        <v>0</v>
      </c>
      <c r="AN35" s="58">
        <f t="shared" si="8"/>
        <v>0</v>
      </c>
      <c r="AO35" s="58">
        <f t="shared" si="8"/>
        <v>0</v>
      </c>
      <c r="AP35" s="58">
        <f t="shared" si="8"/>
        <v>0</v>
      </c>
      <c r="AQ35" s="58">
        <f t="shared" si="8"/>
        <v>0</v>
      </c>
      <c r="AR35" s="58">
        <f t="shared" si="8"/>
        <v>0</v>
      </c>
      <c r="AS35" s="58">
        <f t="shared" si="8"/>
        <v>0</v>
      </c>
      <c r="AT35" s="58">
        <f t="shared" si="8"/>
        <v>0</v>
      </c>
      <c r="AV35" s="54">
        <f>SUM(P35:AT35)</f>
        <v>2899.9</v>
      </c>
      <c r="AW35" s="88">
        <f>SUM(AV35:AV37)</f>
        <v>2930.6228355285239</v>
      </c>
      <c r="AX35" s="77">
        <f>SUM(AW35,AW42)</f>
        <v>2930.6228355285239</v>
      </c>
    </row>
    <row r="36" spans="2:50" ht="15.75" thickBot="1" x14ac:dyDescent="0.3">
      <c r="B36" s="44" t="s">
        <v>38</v>
      </c>
      <c r="C36" s="94" t="b">
        <v>0</v>
      </c>
      <c r="D36" s="94" t="b">
        <v>0</v>
      </c>
      <c r="G36" s="109"/>
      <c r="L36" s="86"/>
      <c r="M36" s="75"/>
      <c r="N36" s="67"/>
      <c r="O36" s="35" t="s">
        <v>45</v>
      </c>
      <c r="P36" s="24">
        <f>$C$19*$C$20*P33*P$12*P$13</f>
        <v>0</v>
      </c>
      <c r="Q36" s="7">
        <f>$C$19*$C$20*Q33*Q$12*Q$13</f>
        <v>45.454545454545453</v>
      </c>
      <c r="R36" s="7">
        <f t="shared" ref="R36:AT36" si="9">$C$19*$C$20*R33*R$12*R$13</f>
        <v>41.322314049586772</v>
      </c>
      <c r="S36" s="7">
        <f t="shared" si="9"/>
        <v>37.565740045078876</v>
      </c>
      <c r="T36" s="7">
        <f t="shared" si="9"/>
        <v>34.150672768253528</v>
      </c>
      <c r="U36" s="7">
        <f t="shared" si="9"/>
        <v>31.046066152957746</v>
      </c>
      <c r="V36" s="7">
        <f t="shared" si="9"/>
        <v>28.22369650268886</v>
      </c>
      <c r="W36" s="7">
        <f t="shared" si="9"/>
        <v>25.657905911535323</v>
      </c>
      <c r="X36" s="7">
        <f t="shared" si="9"/>
        <v>23.325369010486657</v>
      </c>
      <c r="Y36" s="7">
        <f t="shared" si="9"/>
        <v>21.204880918624234</v>
      </c>
      <c r="Z36" s="7">
        <f t="shared" si="9"/>
        <v>19.277164471476574</v>
      </c>
      <c r="AA36" s="7">
        <f t="shared" si="9"/>
        <v>0</v>
      </c>
      <c r="AB36" s="7">
        <f t="shared" si="9"/>
        <v>0</v>
      </c>
      <c r="AC36" s="7">
        <f t="shared" si="9"/>
        <v>0</v>
      </c>
      <c r="AD36" s="7">
        <f t="shared" si="9"/>
        <v>0</v>
      </c>
      <c r="AE36" s="7">
        <f t="shared" si="9"/>
        <v>0</v>
      </c>
      <c r="AF36" s="7">
        <f t="shared" si="9"/>
        <v>0</v>
      </c>
      <c r="AG36" s="7">
        <f t="shared" si="9"/>
        <v>0</v>
      </c>
      <c r="AH36" s="7">
        <f t="shared" si="9"/>
        <v>0</v>
      </c>
      <c r="AI36" s="7">
        <f t="shared" si="9"/>
        <v>0</v>
      </c>
      <c r="AJ36" s="7">
        <f t="shared" si="9"/>
        <v>0</v>
      </c>
      <c r="AK36" s="7">
        <f t="shared" si="9"/>
        <v>0</v>
      </c>
      <c r="AL36" s="7">
        <f t="shared" si="9"/>
        <v>0</v>
      </c>
      <c r="AM36" s="7">
        <f t="shared" si="9"/>
        <v>0</v>
      </c>
      <c r="AN36" s="7">
        <f t="shared" si="9"/>
        <v>0</v>
      </c>
      <c r="AO36" s="7">
        <f t="shared" si="9"/>
        <v>0</v>
      </c>
      <c r="AP36" s="7">
        <f t="shared" si="9"/>
        <v>0</v>
      </c>
      <c r="AQ36" s="7">
        <f t="shared" si="9"/>
        <v>0</v>
      </c>
      <c r="AR36" s="7">
        <f t="shared" si="9"/>
        <v>0</v>
      </c>
      <c r="AS36" s="7">
        <f t="shared" si="9"/>
        <v>0</v>
      </c>
      <c r="AT36" s="7">
        <f t="shared" si="9"/>
        <v>0</v>
      </c>
      <c r="AV36" s="62">
        <f>SUM(P36:AT36)</f>
        <v>307.22835528523399</v>
      </c>
      <c r="AW36" s="89"/>
      <c r="AX36" s="78"/>
    </row>
    <row r="37" spans="2:50" ht="15.75" thickBot="1" x14ac:dyDescent="0.3">
      <c r="B37" s="43" t="s">
        <v>39</v>
      </c>
      <c r="C37" s="92">
        <v>1</v>
      </c>
      <c r="D37" s="92">
        <v>1</v>
      </c>
      <c r="G37" s="109"/>
      <c r="L37" s="86"/>
      <c r="M37" s="75"/>
      <c r="N37" s="67"/>
      <c r="O37" s="36" t="s">
        <v>46</v>
      </c>
      <c r="P37" s="25">
        <f>$C$23*$C$24*P34*P$12*P$13</f>
        <v>0</v>
      </c>
      <c r="Q37" s="17">
        <f>$C$23*$C$24*Q34*Q$12*Q$13</f>
        <v>-40.909090909090907</v>
      </c>
      <c r="R37" s="17">
        <f t="shared" ref="R37:AT37" si="10">$C$23*$C$24*R34*R$12*R$13</f>
        <v>-37.190082644628092</v>
      </c>
      <c r="S37" s="17">
        <f t="shared" si="10"/>
        <v>-33.809166040570986</v>
      </c>
      <c r="T37" s="17">
        <f t="shared" si="10"/>
        <v>-30.735605491428174</v>
      </c>
      <c r="U37" s="17">
        <f t="shared" si="10"/>
        <v>-27.94145953766197</v>
      </c>
      <c r="V37" s="17">
        <f t="shared" si="10"/>
        <v>-25.401326852419974</v>
      </c>
      <c r="W37" s="17">
        <f t="shared" si="10"/>
        <v>-23.09211532038179</v>
      </c>
      <c r="X37" s="17">
        <f t="shared" si="10"/>
        <v>-20.992832109437991</v>
      </c>
      <c r="Y37" s="17">
        <f t="shared" si="10"/>
        <v>-19.08439282676181</v>
      </c>
      <c r="Z37" s="17">
        <f t="shared" si="10"/>
        <v>-17.349448024328918</v>
      </c>
      <c r="AA37" s="17">
        <f t="shared" si="10"/>
        <v>0</v>
      </c>
      <c r="AB37" s="17">
        <f t="shared" si="10"/>
        <v>0</v>
      </c>
      <c r="AC37" s="17">
        <f t="shared" si="10"/>
        <v>0</v>
      </c>
      <c r="AD37" s="17">
        <f t="shared" si="10"/>
        <v>0</v>
      </c>
      <c r="AE37" s="17">
        <f t="shared" si="10"/>
        <v>0</v>
      </c>
      <c r="AF37" s="17">
        <f t="shared" si="10"/>
        <v>0</v>
      </c>
      <c r="AG37" s="17">
        <f t="shared" si="10"/>
        <v>0</v>
      </c>
      <c r="AH37" s="17">
        <f t="shared" si="10"/>
        <v>0</v>
      </c>
      <c r="AI37" s="17">
        <f t="shared" si="10"/>
        <v>0</v>
      </c>
      <c r="AJ37" s="17">
        <f t="shared" si="10"/>
        <v>0</v>
      </c>
      <c r="AK37" s="17">
        <f t="shared" si="10"/>
        <v>0</v>
      </c>
      <c r="AL37" s="17">
        <f t="shared" si="10"/>
        <v>0</v>
      </c>
      <c r="AM37" s="17">
        <f t="shared" si="10"/>
        <v>0</v>
      </c>
      <c r="AN37" s="17">
        <f t="shared" si="10"/>
        <v>0</v>
      </c>
      <c r="AO37" s="17">
        <f t="shared" si="10"/>
        <v>0</v>
      </c>
      <c r="AP37" s="17">
        <f t="shared" si="10"/>
        <v>0</v>
      </c>
      <c r="AQ37" s="17">
        <f t="shared" si="10"/>
        <v>0</v>
      </c>
      <c r="AR37" s="17">
        <f t="shared" si="10"/>
        <v>0</v>
      </c>
      <c r="AS37" s="17">
        <f t="shared" si="10"/>
        <v>0</v>
      </c>
      <c r="AT37" s="17">
        <f t="shared" si="10"/>
        <v>0</v>
      </c>
      <c r="AV37" s="55">
        <f>SUM(P37:AT37)</f>
        <v>-276.50551975671056</v>
      </c>
      <c r="AW37" s="90"/>
      <c r="AX37" s="78"/>
    </row>
    <row r="38" spans="2:50" x14ac:dyDescent="0.25">
      <c r="B38" s="43" t="s">
        <v>40</v>
      </c>
      <c r="C38" s="93">
        <v>25</v>
      </c>
      <c r="D38" s="93">
        <v>25</v>
      </c>
      <c r="G38" s="109"/>
      <c r="I38" s="51" t="s">
        <v>12</v>
      </c>
      <c r="J38" s="45">
        <v>20</v>
      </c>
      <c r="L38" s="86"/>
      <c r="M38" s="75"/>
      <c r="N38" s="68" t="s">
        <v>43</v>
      </c>
      <c r="O38" s="33" t="s">
        <v>8</v>
      </c>
      <c r="P38" s="26">
        <v>0</v>
      </c>
      <c r="Q38" s="14">
        <v>0</v>
      </c>
      <c r="R38" s="14">
        <v>0</v>
      </c>
      <c r="S38" s="14">
        <v>0</v>
      </c>
      <c r="T38" s="14">
        <v>0</v>
      </c>
      <c r="U38" s="14">
        <v>0</v>
      </c>
      <c r="V38" s="14">
        <v>0</v>
      </c>
      <c r="W38" s="14">
        <v>0</v>
      </c>
      <c r="X38" s="14">
        <v>0</v>
      </c>
      <c r="Y38" s="14">
        <v>0</v>
      </c>
      <c r="Z38" s="38">
        <v>1</v>
      </c>
      <c r="AA38" s="14">
        <v>0</v>
      </c>
      <c r="AB38" s="14">
        <v>0</v>
      </c>
      <c r="AC38" s="14">
        <v>0</v>
      </c>
      <c r="AD38" s="14">
        <v>0</v>
      </c>
      <c r="AE38" s="14">
        <v>0</v>
      </c>
      <c r="AF38" s="14">
        <v>0</v>
      </c>
      <c r="AG38" s="14">
        <v>0</v>
      </c>
      <c r="AH38" s="14">
        <v>0</v>
      </c>
      <c r="AI38" s="14">
        <v>0</v>
      </c>
      <c r="AJ38" s="14">
        <v>0</v>
      </c>
      <c r="AK38" s="14">
        <v>0</v>
      </c>
      <c r="AL38" s="14">
        <v>0</v>
      </c>
      <c r="AM38" s="14">
        <v>0</v>
      </c>
      <c r="AN38" s="14">
        <v>0</v>
      </c>
      <c r="AO38" s="14">
        <v>0</v>
      </c>
      <c r="AP38" s="14">
        <v>0</v>
      </c>
      <c r="AQ38" s="14">
        <v>0</v>
      </c>
      <c r="AR38" s="14">
        <v>0</v>
      </c>
      <c r="AS38" s="14">
        <v>0</v>
      </c>
      <c r="AT38" s="14">
        <v>0</v>
      </c>
      <c r="AX38" s="78"/>
    </row>
    <row r="39" spans="2:50" x14ac:dyDescent="0.25">
      <c r="B39" s="43" t="s">
        <v>41</v>
      </c>
      <c r="C39" s="93" t="s">
        <v>4</v>
      </c>
      <c r="D39" s="93" t="s">
        <v>4</v>
      </c>
      <c r="G39" s="109"/>
      <c r="I39" s="52" t="s">
        <v>13</v>
      </c>
      <c r="J39" s="46">
        <v>10</v>
      </c>
      <c r="L39" s="86"/>
      <c r="M39" s="75"/>
      <c r="N39" s="69"/>
      <c r="O39" s="34" t="s">
        <v>48</v>
      </c>
      <c r="P39" s="22">
        <v>0</v>
      </c>
      <c r="Q39" s="9">
        <v>0</v>
      </c>
      <c r="R39" s="9">
        <v>0</v>
      </c>
      <c r="S39" s="9">
        <v>0</v>
      </c>
      <c r="T39" s="9">
        <v>0</v>
      </c>
      <c r="U39" s="9">
        <v>0</v>
      </c>
      <c r="V39" s="9">
        <v>0</v>
      </c>
      <c r="W39" s="9">
        <v>0</v>
      </c>
      <c r="X39" s="9">
        <v>0</v>
      </c>
      <c r="Y39" s="9">
        <v>0</v>
      </c>
      <c r="Z39" s="9">
        <v>0</v>
      </c>
      <c r="AA39" s="38">
        <v>1</v>
      </c>
      <c r="AB39" s="37">
        <v>1</v>
      </c>
      <c r="AC39" s="37">
        <v>1</v>
      </c>
      <c r="AD39" s="37">
        <v>1</v>
      </c>
      <c r="AE39" s="37">
        <v>1</v>
      </c>
      <c r="AF39" s="37">
        <v>1</v>
      </c>
      <c r="AG39" s="37">
        <v>1</v>
      </c>
      <c r="AH39" s="37">
        <v>1</v>
      </c>
      <c r="AI39" s="37">
        <v>1</v>
      </c>
      <c r="AJ39" s="37">
        <v>1</v>
      </c>
      <c r="AK39" s="37">
        <v>1</v>
      </c>
      <c r="AL39" s="37">
        <v>1</v>
      </c>
      <c r="AM39" s="37">
        <v>1</v>
      </c>
      <c r="AN39" s="37">
        <v>1</v>
      </c>
      <c r="AO39" s="37">
        <v>1</v>
      </c>
      <c r="AP39" s="37">
        <v>1</v>
      </c>
      <c r="AQ39" s="37">
        <v>1</v>
      </c>
      <c r="AR39" s="37">
        <v>1</v>
      </c>
      <c r="AS39" s="37">
        <v>1</v>
      </c>
      <c r="AT39" s="37">
        <v>1</v>
      </c>
      <c r="AX39" s="78"/>
    </row>
    <row r="40" spans="2:50" ht="15.75" thickBot="1" x14ac:dyDescent="0.3">
      <c r="B40" s="44" t="s">
        <v>42</v>
      </c>
      <c r="C40" s="94" t="b">
        <v>1</v>
      </c>
      <c r="D40" s="94" t="b">
        <v>1</v>
      </c>
      <c r="G40" s="109"/>
      <c r="I40" s="53" t="s">
        <v>14</v>
      </c>
      <c r="J40" s="47">
        <v>1</v>
      </c>
      <c r="L40" s="86"/>
      <c r="M40" s="75"/>
      <c r="N40" s="69"/>
      <c r="O40" s="61" t="s">
        <v>47</v>
      </c>
      <c r="P40" s="22">
        <v>0</v>
      </c>
      <c r="Q40" s="9">
        <v>0</v>
      </c>
      <c r="R40" s="9">
        <v>0</v>
      </c>
      <c r="S40" s="9">
        <v>0</v>
      </c>
      <c r="T40" s="9">
        <v>0</v>
      </c>
      <c r="U40" s="9">
        <v>0</v>
      </c>
      <c r="V40" s="9">
        <v>0</v>
      </c>
      <c r="W40" s="9">
        <v>0</v>
      </c>
      <c r="X40" s="9">
        <v>0</v>
      </c>
      <c r="Y40" s="9">
        <v>0</v>
      </c>
      <c r="Z40" s="9">
        <v>0</v>
      </c>
      <c r="AA40" s="38">
        <v>1</v>
      </c>
      <c r="AB40" s="37">
        <v>1</v>
      </c>
      <c r="AC40" s="37">
        <v>1</v>
      </c>
      <c r="AD40" s="37">
        <v>1</v>
      </c>
      <c r="AE40" s="37">
        <v>1</v>
      </c>
      <c r="AF40" s="37">
        <v>1</v>
      </c>
      <c r="AG40" s="37">
        <v>1</v>
      </c>
      <c r="AH40" s="37">
        <v>1</v>
      </c>
      <c r="AI40" s="37">
        <v>1</v>
      </c>
      <c r="AJ40" s="37">
        <v>1</v>
      </c>
      <c r="AK40" s="37">
        <v>1</v>
      </c>
      <c r="AL40" s="37">
        <v>1</v>
      </c>
      <c r="AM40" s="37">
        <v>1</v>
      </c>
      <c r="AN40" s="37">
        <v>1</v>
      </c>
      <c r="AO40" s="37">
        <v>1</v>
      </c>
      <c r="AP40" s="37">
        <v>1</v>
      </c>
      <c r="AQ40" s="37">
        <v>1</v>
      </c>
      <c r="AR40" s="37">
        <v>1</v>
      </c>
      <c r="AS40" s="37">
        <v>1</v>
      </c>
      <c r="AT40" s="37">
        <v>1</v>
      </c>
      <c r="AX40" s="78"/>
    </row>
    <row r="41" spans="2:50" x14ac:dyDescent="0.25">
      <c r="B41" s="43" t="s">
        <v>39</v>
      </c>
      <c r="C41" s="93">
        <v>1</v>
      </c>
      <c r="D41" s="121">
        <v>5</v>
      </c>
      <c r="G41" s="109"/>
      <c r="L41" s="86"/>
      <c r="M41" s="75"/>
      <c r="N41" s="69"/>
      <c r="O41" s="56" t="s">
        <v>24</v>
      </c>
      <c r="P41" s="57">
        <f>$C$31*$C$32/$C$33*P38*P$13</f>
        <v>0</v>
      </c>
      <c r="Q41" s="58">
        <f>$C$31*$C$32/$C$33*Q38*Q$13</f>
        <v>0</v>
      </c>
      <c r="R41" s="58">
        <f t="shared" ref="R41:AT41" si="11">$C$31*$C$32/$C$33*R38*R$13</f>
        <v>0</v>
      </c>
      <c r="S41" s="58">
        <f t="shared" si="11"/>
        <v>0</v>
      </c>
      <c r="T41" s="58">
        <f t="shared" si="11"/>
        <v>0</v>
      </c>
      <c r="U41" s="58">
        <f t="shared" si="11"/>
        <v>0</v>
      </c>
      <c r="V41" s="58">
        <f t="shared" si="11"/>
        <v>0</v>
      </c>
      <c r="W41" s="58">
        <f t="shared" si="11"/>
        <v>0</v>
      </c>
      <c r="X41" s="58">
        <f t="shared" si="11"/>
        <v>0</v>
      </c>
      <c r="Y41" s="58">
        <f t="shared" si="11"/>
        <v>0</v>
      </c>
      <c r="Z41" s="58">
        <f t="shared" si="11"/>
        <v>617.1969748832654</v>
      </c>
      <c r="AA41" s="58">
        <f t="shared" si="11"/>
        <v>0</v>
      </c>
      <c r="AB41" s="58">
        <f t="shared" si="11"/>
        <v>0</v>
      </c>
      <c r="AC41" s="58">
        <f t="shared" si="11"/>
        <v>0</v>
      </c>
      <c r="AD41" s="58">
        <f t="shared" si="11"/>
        <v>0</v>
      </c>
      <c r="AE41" s="58">
        <f t="shared" si="11"/>
        <v>0</v>
      </c>
      <c r="AF41" s="58">
        <f t="shared" si="11"/>
        <v>0</v>
      </c>
      <c r="AG41" s="58">
        <f t="shared" si="11"/>
        <v>0</v>
      </c>
      <c r="AH41" s="58">
        <f t="shared" si="11"/>
        <v>0</v>
      </c>
      <c r="AI41" s="58">
        <f t="shared" si="11"/>
        <v>0</v>
      </c>
      <c r="AJ41" s="58">
        <f t="shared" si="11"/>
        <v>0</v>
      </c>
      <c r="AK41" s="58">
        <f t="shared" si="11"/>
        <v>0</v>
      </c>
      <c r="AL41" s="58">
        <f t="shared" si="11"/>
        <v>0</v>
      </c>
      <c r="AM41" s="58">
        <f t="shared" si="11"/>
        <v>0</v>
      </c>
      <c r="AN41" s="58">
        <f t="shared" si="11"/>
        <v>0</v>
      </c>
      <c r="AO41" s="58">
        <f t="shared" si="11"/>
        <v>0</v>
      </c>
      <c r="AP41" s="58">
        <f t="shared" si="11"/>
        <v>0</v>
      </c>
      <c r="AQ41" s="58">
        <f t="shared" si="11"/>
        <v>0</v>
      </c>
      <c r="AR41" s="58">
        <f t="shared" si="11"/>
        <v>0</v>
      </c>
      <c r="AS41" s="58">
        <f t="shared" si="11"/>
        <v>0</v>
      </c>
      <c r="AT41" s="58">
        <f t="shared" si="11"/>
        <v>0</v>
      </c>
      <c r="AV41" s="54">
        <f>SUM(P41:AT41)</f>
        <v>617.1969748832654</v>
      </c>
      <c r="AW41" s="88">
        <f>SUM(AV41:AV43)</f>
        <v>551.55002765759275</v>
      </c>
      <c r="AX41" s="78"/>
    </row>
    <row r="42" spans="2:50" x14ac:dyDescent="0.25">
      <c r="B42" s="43" t="s">
        <v>40</v>
      </c>
      <c r="C42" s="93">
        <v>-45</v>
      </c>
      <c r="D42" s="93">
        <v>-45</v>
      </c>
      <c r="G42" s="109"/>
      <c r="L42" s="86"/>
      <c r="M42" s="75"/>
      <c r="N42" s="69"/>
      <c r="O42" s="35" t="s">
        <v>45</v>
      </c>
      <c r="P42" s="24">
        <f>$C$37*$C$38*P39*P$12*P$13</f>
        <v>0</v>
      </c>
      <c r="Q42" s="7">
        <f>$C$37*$C$38*Q39*Q$12*Q$13</f>
        <v>0</v>
      </c>
      <c r="R42" s="7">
        <f t="shared" ref="R42:AT42" si="12">$C$37*$C$38*R39*R$12*R$13</f>
        <v>0</v>
      </c>
      <c r="S42" s="7">
        <f t="shared" si="12"/>
        <v>0</v>
      </c>
      <c r="T42" s="7">
        <f t="shared" si="12"/>
        <v>0</v>
      </c>
      <c r="U42" s="7">
        <f t="shared" si="12"/>
        <v>0</v>
      </c>
      <c r="V42" s="7">
        <f t="shared" si="12"/>
        <v>0</v>
      </c>
      <c r="W42" s="7">
        <f t="shared" si="12"/>
        <v>0</v>
      </c>
      <c r="X42" s="7">
        <f t="shared" si="12"/>
        <v>0</v>
      </c>
      <c r="Y42" s="7">
        <f t="shared" si="12"/>
        <v>0</v>
      </c>
      <c r="Z42" s="7">
        <f t="shared" si="12"/>
        <v>0</v>
      </c>
      <c r="AA42" s="7">
        <f t="shared" si="12"/>
        <v>8.7623474870348055</v>
      </c>
      <c r="AB42" s="7">
        <f t="shared" si="12"/>
        <v>7.965770442758914</v>
      </c>
      <c r="AC42" s="7">
        <f t="shared" si="12"/>
        <v>7.2416094934171946</v>
      </c>
      <c r="AD42" s="7">
        <f t="shared" si="12"/>
        <v>6.5832813576519928</v>
      </c>
      <c r="AE42" s="7">
        <f t="shared" si="12"/>
        <v>5.9848012342290851</v>
      </c>
      <c r="AF42" s="7">
        <f t="shared" si="12"/>
        <v>5.4407283947537133</v>
      </c>
      <c r="AG42" s="7">
        <f t="shared" si="12"/>
        <v>4.9461167225033753</v>
      </c>
      <c r="AH42" s="7">
        <f t="shared" si="12"/>
        <v>4.496469747730341</v>
      </c>
      <c r="AI42" s="7">
        <f t="shared" si="12"/>
        <v>4.0876997706639457</v>
      </c>
      <c r="AJ42" s="7">
        <f t="shared" si="12"/>
        <v>3.7160907006035875</v>
      </c>
      <c r="AK42" s="7">
        <f t="shared" si="12"/>
        <v>3.3782642732759882</v>
      </c>
      <c r="AL42" s="7">
        <f t="shared" si="12"/>
        <v>3.0711493393418068</v>
      </c>
      <c r="AM42" s="7">
        <f t="shared" si="12"/>
        <v>2.7919539448561879</v>
      </c>
      <c r="AN42" s="7">
        <f t="shared" si="12"/>
        <v>2.5381399498692621</v>
      </c>
      <c r="AO42" s="7">
        <f t="shared" si="12"/>
        <v>2.3073999544266011</v>
      </c>
      <c r="AP42" s="7">
        <f t="shared" si="12"/>
        <v>2.097636322206001</v>
      </c>
      <c r="AQ42" s="7">
        <f t="shared" si="12"/>
        <v>1.9069421110963645</v>
      </c>
      <c r="AR42" s="7">
        <f t="shared" si="12"/>
        <v>1.7335837373603311</v>
      </c>
      <c r="AS42" s="7">
        <f t="shared" si="12"/>
        <v>1.575985215782119</v>
      </c>
      <c r="AT42" s="7">
        <f t="shared" si="12"/>
        <v>1.432713832529199</v>
      </c>
      <c r="AV42" s="62">
        <f>SUM(P42:AT42)</f>
        <v>82.058684032090824</v>
      </c>
      <c r="AW42" s="89"/>
      <c r="AX42" s="78"/>
    </row>
    <row r="43" spans="2:50" ht="15.75" thickBot="1" x14ac:dyDescent="0.3">
      <c r="B43" s="43" t="s">
        <v>41</v>
      </c>
      <c r="C43" s="93" t="s">
        <v>4</v>
      </c>
      <c r="D43" s="93" t="s">
        <v>4</v>
      </c>
      <c r="G43" s="110"/>
      <c r="L43" s="87"/>
      <c r="M43" s="76"/>
      <c r="N43" s="70"/>
      <c r="O43" s="36" t="s">
        <v>46</v>
      </c>
      <c r="P43" s="25">
        <f>$C$41*$C$42*P40*P$12*P$13</f>
        <v>0</v>
      </c>
      <c r="Q43" s="17">
        <f>$C$41*$C$42*Q40*Q$12*Q$13</f>
        <v>0</v>
      </c>
      <c r="R43" s="17">
        <f t="shared" ref="R43:AT43" si="13">$C$41*$C$42*R40*R$12*R$13</f>
        <v>0</v>
      </c>
      <c r="S43" s="17">
        <f t="shared" si="13"/>
        <v>0</v>
      </c>
      <c r="T43" s="17">
        <f t="shared" si="13"/>
        <v>0</v>
      </c>
      <c r="U43" s="17">
        <f t="shared" si="13"/>
        <v>0</v>
      </c>
      <c r="V43" s="17">
        <f t="shared" si="13"/>
        <v>0</v>
      </c>
      <c r="W43" s="17">
        <f t="shared" si="13"/>
        <v>0</v>
      </c>
      <c r="X43" s="17">
        <f t="shared" si="13"/>
        <v>0</v>
      </c>
      <c r="Y43" s="17">
        <f t="shared" si="13"/>
        <v>0</v>
      </c>
      <c r="Z43" s="17">
        <f t="shared" si="13"/>
        <v>0</v>
      </c>
      <c r="AA43" s="17">
        <f t="shared" si="13"/>
        <v>-15.77222547666265</v>
      </c>
      <c r="AB43" s="17">
        <f t="shared" si="13"/>
        <v>-14.338386796966045</v>
      </c>
      <c r="AC43" s="17">
        <f t="shared" si="13"/>
        <v>-13.03489708815095</v>
      </c>
      <c r="AD43" s="17">
        <f t="shared" si="13"/>
        <v>-11.849906443773587</v>
      </c>
      <c r="AE43" s="17">
        <f t="shared" si="13"/>
        <v>-10.772642221612353</v>
      </c>
      <c r="AF43" s="17">
        <f t="shared" si="13"/>
        <v>-9.793311110556683</v>
      </c>
      <c r="AG43" s="17">
        <f t="shared" si="13"/>
        <v>-8.9030101005060764</v>
      </c>
      <c r="AH43" s="17">
        <f t="shared" si="13"/>
        <v>-8.0936455459146135</v>
      </c>
      <c r="AI43" s="17">
        <f t="shared" si="13"/>
        <v>-7.3578595871951018</v>
      </c>
      <c r="AJ43" s="17">
        <f t="shared" si="13"/>
        <v>-6.6889632610864576</v>
      </c>
      <c r="AK43" s="17">
        <f t="shared" si="13"/>
        <v>-6.0808756918967788</v>
      </c>
      <c r="AL43" s="17">
        <f t="shared" si="13"/>
        <v>-5.5280688108152525</v>
      </c>
      <c r="AM43" s="17">
        <f t="shared" si="13"/>
        <v>-5.0255171007411379</v>
      </c>
      <c r="AN43" s="17">
        <f t="shared" si="13"/>
        <v>-4.5686519097646716</v>
      </c>
      <c r="AO43" s="17">
        <f t="shared" si="13"/>
        <v>-4.1533199179678819</v>
      </c>
      <c r="AP43" s="17">
        <f t="shared" si="13"/>
        <v>-3.7757453799708021</v>
      </c>
      <c r="AQ43" s="17">
        <f t="shared" si="13"/>
        <v>-3.4324957999734558</v>
      </c>
      <c r="AR43" s="17">
        <f t="shared" si="13"/>
        <v>-3.120450727248596</v>
      </c>
      <c r="AS43" s="17">
        <f t="shared" si="13"/>
        <v>-2.8367733884078143</v>
      </c>
      <c r="AT43" s="17">
        <f t="shared" si="13"/>
        <v>-2.5788848985525585</v>
      </c>
      <c r="AV43" s="55">
        <f>SUM(P43:AT43)</f>
        <v>-147.70563125776349</v>
      </c>
      <c r="AW43" s="90"/>
      <c r="AX43" s="79"/>
    </row>
    <row r="44" spans="2:50" ht="15.75" thickBot="1" x14ac:dyDescent="0.3">
      <c r="B44" s="44" t="s">
        <v>42</v>
      </c>
      <c r="C44" s="94" t="b">
        <v>1</v>
      </c>
      <c r="D44" s="94" t="b">
        <v>1</v>
      </c>
    </row>
    <row r="47" spans="2:50" ht="15" customHeight="1" x14ac:dyDescent="0.25"/>
    <row r="49" spans="7:59" ht="15.75" thickBot="1" x14ac:dyDescent="0.3"/>
    <row r="50" spans="7:59" ht="15" customHeight="1" x14ac:dyDescent="0.25">
      <c r="G50" s="111" t="s">
        <v>60</v>
      </c>
      <c r="H50" s="1"/>
      <c r="I50" s="48" t="s">
        <v>12</v>
      </c>
      <c r="J50" s="45">
        <v>10</v>
      </c>
      <c r="K50" s="1"/>
      <c r="L50" s="114" t="s">
        <v>55</v>
      </c>
      <c r="M50" s="74" t="s">
        <v>61</v>
      </c>
      <c r="N50" s="66" t="s">
        <v>44</v>
      </c>
      <c r="O50" s="33" t="s">
        <v>8</v>
      </c>
      <c r="P50" s="60">
        <v>1</v>
      </c>
      <c r="Q50" s="14">
        <v>0</v>
      </c>
      <c r="R50" s="14">
        <v>0</v>
      </c>
      <c r="S50" s="14">
        <v>0</v>
      </c>
      <c r="T50" s="14">
        <v>0</v>
      </c>
      <c r="U50" s="14">
        <v>0</v>
      </c>
      <c r="V50" s="14">
        <v>0</v>
      </c>
      <c r="W50" s="14">
        <v>0</v>
      </c>
      <c r="X50" s="14">
        <v>0</v>
      </c>
      <c r="Y50" s="14">
        <v>0</v>
      </c>
      <c r="Z50" s="14">
        <v>0</v>
      </c>
      <c r="AA50" s="14">
        <v>0</v>
      </c>
      <c r="AB50" s="14">
        <v>0</v>
      </c>
      <c r="AC50" s="14">
        <v>0</v>
      </c>
      <c r="AD50" s="14">
        <v>0</v>
      </c>
      <c r="AE50" s="14">
        <v>0</v>
      </c>
      <c r="AF50" s="14">
        <v>0</v>
      </c>
      <c r="AG50" s="14">
        <v>0</v>
      </c>
      <c r="AH50" s="14">
        <v>0</v>
      </c>
      <c r="AI50" s="14">
        <v>0</v>
      </c>
      <c r="AJ50" s="14">
        <v>0</v>
      </c>
      <c r="AK50" s="14">
        <v>0</v>
      </c>
      <c r="AL50" s="14">
        <v>0</v>
      </c>
      <c r="AM50" s="14">
        <v>0</v>
      </c>
      <c r="AN50" s="14">
        <v>0</v>
      </c>
      <c r="AO50" s="14">
        <v>0</v>
      </c>
      <c r="AP50" s="14">
        <v>0</v>
      </c>
      <c r="AQ50" s="14">
        <v>0</v>
      </c>
      <c r="AR50" s="14">
        <v>0</v>
      </c>
      <c r="AS50" s="14">
        <v>0</v>
      </c>
      <c r="AT50" s="14">
        <v>0</v>
      </c>
      <c r="AV50" s="1"/>
      <c r="AW50" s="1"/>
      <c r="AX50" s="1"/>
    </row>
    <row r="51" spans="7:59" x14ac:dyDescent="0.25">
      <c r="G51" s="112"/>
      <c r="H51" s="1"/>
      <c r="I51" s="49" t="s">
        <v>13</v>
      </c>
      <c r="J51" s="46">
        <v>0</v>
      </c>
      <c r="K51" s="1"/>
      <c r="L51" s="115"/>
      <c r="M51" s="75"/>
      <c r="N51" s="67"/>
      <c r="O51" s="34" t="s">
        <v>48</v>
      </c>
      <c r="P51" s="11">
        <v>0</v>
      </c>
      <c r="Q51" s="38">
        <v>1</v>
      </c>
      <c r="R51" s="37">
        <v>1</v>
      </c>
      <c r="S51" s="37">
        <v>1</v>
      </c>
      <c r="T51" s="37">
        <v>1</v>
      </c>
      <c r="U51" s="37">
        <v>1</v>
      </c>
      <c r="V51" s="37">
        <v>1</v>
      </c>
      <c r="W51" s="37">
        <v>1</v>
      </c>
      <c r="X51" s="37">
        <v>1</v>
      </c>
      <c r="Y51" s="37">
        <v>1</v>
      </c>
      <c r="Z51" s="9">
        <v>0</v>
      </c>
      <c r="AA51" s="9">
        <v>0</v>
      </c>
      <c r="AB51" s="9">
        <v>0</v>
      </c>
      <c r="AC51" s="9">
        <v>0</v>
      </c>
      <c r="AD51" s="9">
        <v>0</v>
      </c>
      <c r="AE51" s="9">
        <v>0</v>
      </c>
      <c r="AF51" s="9">
        <v>0</v>
      </c>
      <c r="AG51" s="9">
        <v>0</v>
      </c>
      <c r="AH51" s="9">
        <v>0</v>
      </c>
      <c r="AI51" s="9">
        <v>0</v>
      </c>
      <c r="AJ51" s="9">
        <v>0</v>
      </c>
      <c r="AK51" s="9">
        <v>0</v>
      </c>
      <c r="AL51" s="9">
        <v>0</v>
      </c>
      <c r="AM51" s="9">
        <v>0</v>
      </c>
      <c r="AN51" s="9">
        <v>0</v>
      </c>
      <c r="AO51" s="9">
        <v>0</v>
      </c>
      <c r="AP51" s="9">
        <v>0</v>
      </c>
      <c r="AQ51" s="9">
        <v>0</v>
      </c>
      <c r="AR51" s="9">
        <v>0</v>
      </c>
      <c r="AS51" s="9">
        <v>0</v>
      </c>
      <c r="AT51" s="9">
        <v>0</v>
      </c>
      <c r="AV51" s="1"/>
      <c r="AW51" s="1"/>
      <c r="AX51" s="1"/>
    </row>
    <row r="52" spans="7:59" ht="15.75" thickBot="1" x14ac:dyDescent="0.3">
      <c r="G52" s="112"/>
      <c r="H52" s="1"/>
      <c r="I52" s="50" t="s">
        <v>14</v>
      </c>
      <c r="J52" s="47">
        <v>1</v>
      </c>
      <c r="K52" s="1"/>
      <c r="L52" s="115"/>
      <c r="M52" s="75"/>
      <c r="N52" s="67"/>
      <c r="O52" s="61" t="s">
        <v>47</v>
      </c>
      <c r="P52" s="11">
        <v>0</v>
      </c>
      <c r="Q52" s="38">
        <v>1</v>
      </c>
      <c r="R52" s="37">
        <v>1</v>
      </c>
      <c r="S52" s="37">
        <v>1</v>
      </c>
      <c r="T52" s="37">
        <v>1</v>
      </c>
      <c r="U52" s="37">
        <v>1</v>
      </c>
      <c r="V52" s="37">
        <v>1</v>
      </c>
      <c r="W52" s="37">
        <v>1</v>
      </c>
      <c r="X52" s="37">
        <v>1</v>
      </c>
      <c r="Y52" s="37">
        <v>1</v>
      </c>
      <c r="Z52" s="9">
        <v>0</v>
      </c>
      <c r="AA52" s="9">
        <v>0</v>
      </c>
      <c r="AB52" s="9">
        <v>0</v>
      </c>
      <c r="AC52" s="9">
        <v>0</v>
      </c>
      <c r="AD52" s="9">
        <v>0</v>
      </c>
      <c r="AE52" s="9">
        <v>0</v>
      </c>
      <c r="AF52" s="9">
        <v>0</v>
      </c>
      <c r="AG52" s="9">
        <v>0</v>
      </c>
      <c r="AH52" s="9">
        <v>0</v>
      </c>
      <c r="AI52" s="9">
        <v>0</v>
      </c>
      <c r="AJ52" s="9">
        <v>0</v>
      </c>
      <c r="AK52" s="9">
        <v>0</v>
      </c>
      <c r="AL52" s="9">
        <v>0</v>
      </c>
      <c r="AM52" s="9">
        <v>0</v>
      </c>
      <c r="AN52" s="9">
        <v>0</v>
      </c>
      <c r="AO52" s="9">
        <v>0</v>
      </c>
      <c r="AP52" s="9">
        <v>0</v>
      </c>
      <c r="AQ52" s="9">
        <v>0</v>
      </c>
      <c r="AR52" s="9">
        <v>0</v>
      </c>
      <c r="AS52" s="9">
        <v>0</v>
      </c>
      <c r="AT52" s="9">
        <v>0</v>
      </c>
    </row>
    <row r="53" spans="7:59" x14ac:dyDescent="0.25">
      <c r="G53" s="112"/>
      <c r="H53" s="1"/>
      <c r="I53" s="6"/>
      <c r="J53" s="1"/>
      <c r="K53" s="1"/>
      <c r="L53" s="115"/>
      <c r="M53" s="75"/>
      <c r="N53" s="67"/>
      <c r="O53" s="56" t="s">
        <v>24</v>
      </c>
      <c r="P53" s="58">
        <f t="shared" ref="P53:Q53" si="14">$D$12*$D$13/$D$14*P50*P$13</f>
        <v>2899.9</v>
      </c>
      <c r="Q53" s="63">
        <f t="shared" si="14"/>
        <v>0</v>
      </c>
      <c r="R53" s="58">
        <f>$D$12*$D$13/$D$14*R50*R$13</f>
        <v>0</v>
      </c>
      <c r="S53" s="58">
        <f t="shared" ref="S53:AT53" si="15">$D$12*$D$13/$D$14*S50*S$13</f>
        <v>0</v>
      </c>
      <c r="T53" s="58">
        <f t="shared" si="15"/>
        <v>0</v>
      </c>
      <c r="U53" s="58">
        <f t="shared" si="15"/>
        <v>0</v>
      </c>
      <c r="V53" s="58">
        <f t="shared" si="15"/>
        <v>0</v>
      </c>
      <c r="W53" s="58">
        <f t="shared" si="15"/>
        <v>0</v>
      </c>
      <c r="X53" s="58">
        <f t="shared" si="15"/>
        <v>0</v>
      </c>
      <c r="Y53" s="58">
        <f t="shared" si="15"/>
        <v>0</v>
      </c>
      <c r="Z53" s="58">
        <f t="shared" si="15"/>
        <v>0</v>
      </c>
      <c r="AA53" s="58">
        <f t="shared" si="15"/>
        <v>0</v>
      </c>
      <c r="AB53" s="58">
        <f t="shared" si="15"/>
        <v>0</v>
      </c>
      <c r="AC53" s="58">
        <f t="shared" si="15"/>
        <v>0</v>
      </c>
      <c r="AD53" s="58">
        <f t="shared" si="15"/>
        <v>0</v>
      </c>
      <c r="AE53" s="58">
        <f t="shared" si="15"/>
        <v>0</v>
      </c>
      <c r="AF53" s="58">
        <f t="shared" si="15"/>
        <v>0</v>
      </c>
      <c r="AG53" s="58">
        <f t="shared" si="15"/>
        <v>0</v>
      </c>
      <c r="AH53" s="58">
        <f t="shared" si="15"/>
        <v>0</v>
      </c>
      <c r="AI53" s="58">
        <f t="shared" si="15"/>
        <v>0</v>
      </c>
      <c r="AJ53" s="58">
        <f t="shared" si="15"/>
        <v>0</v>
      </c>
      <c r="AK53" s="58">
        <f t="shared" si="15"/>
        <v>0</v>
      </c>
      <c r="AL53" s="58">
        <f t="shared" si="15"/>
        <v>0</v>
      </c>
      <c r="AM53" s="58">
        <f t="shared" si="15"/>
        <v>0</v>
      </c>
      <c r="AN53" s="58">
        <f t="shared" si="15"/>
        <v>0</v>
      </c>
      <c r="AO53" s="58">
        <f t="shared" si="15"/>
        <v>0</v>
      </c>
      <c r="AP53" s="58">
        <f t="shared" si="15"/>
        <v>0</v>
      </c>
      <c r="AQ53" s="58">
        <f t="shared" si="15"/>
        <v>0</v>
      </c>
      <c r="AR53" s="58">
        <f t="shared" si="15"/>
        <v>0</v>
      </c>
      <c r="AS53" s="58">
        <f t="shared" si="15"/>
        <v>0</v>
      </c>
      <c r="AT53" s="59">
        <f t="shared" si="15"/>
        <v>0</v>
      </c>
      <c r="AV53" s="54">
        <f>SUM(P53:AT53)</f>
        <v>2899.9</v>
      </c>
      <c r="AW53" s="88">
        <f>SUM(AV53:AV55)</f>
        <v>596.29047348994072</v>
      </c>
      <c r="AX53" s="77">
        <f>SUM(AW53,AW60)</f>
        <v>596.29047348994072</v>
      </c>
    </row>
    <row r="54" spans="7:59" x14ac:dyDescent="0.25">
      <c r="G54" s="112"/>
      <c r="H54" s="1"/>
      <c r="L54" s="115"/>
      <c r="M54" s="75"/>
      <c r="N54" s="67"/>
      <c r="O54" s="35" t="s">
        <v>45</v>
      </c>
      <c r="P54" s="119">
        <f t="shared" ref="P54:Q54" si="16">$D$19*$D$20*P51*P$12*P$13</f>
        <v>0</v>
      </c>
      <c r="Q54" s="19">
        <f t="shared" si="16"/>
        <v>45.454545454545453</v>
      </c>
      <c r="R54" s="119">
        <f>$D$19*$D$20*R51*R$12*R$13</f>
        <v>41.322314049586772</v>
      </c>
      <c r="S54" s="119">
        <f t="shared" ref="S54:AT54" si="17">$D$19*$D$20*S51*S$12*S$13</f>
        <v>37.565740045078876</v>
      </c>
      <c r="T54" s="119">
        <f t="shared" si="17"/>
        <v>34.150672768253528</v>
      </c>
      <c r="U54" s="119">
        <f t="shared" si="17"/>
        <v>31.046066152957746</v>
      </c>
      <c r="V54" s="119">
        <f t="shared" si="17"/>
        <v>28.22369650268886</v>
      </c>
      <c r="W54" s="119">
        <f t="shared" si="17"/>
        <v>25.657905911535323</v>
      </c>
      <c r="X54" s="119">
        <f t="shared" si="17"/>
        <v>23.325369010486657</v>
      </c>
      <c r="Y54" s="119">
        <f t="shared" si="17"/>
        <v>21.204880918624234</v>
      </c>
      <c r="Z54" s="119">
        <f t="shared" si="17"/>
        <v>0</v>
      </c>
      <c r="AA54" s="119">
        <f t="shared" si="17"/>
        <v>0</v>
      </c>
      <c r="AB54" s="119">
        <f t="shared" si="17"/>
        <v>0</v>
      </c>
      <c r="AC54" s="119">
        <f t="shared" si="17"/>
        <v>0</v>
      </c>
      <c r="AD54" s="119">
        <f t="shared" si="17"/>
        <v>0</v>
      </c>
      <c r="AE54" s="119">
        <f t="shared" si="17"/>
        <v>0</v>
      </c>
      <c r="AF54" s="119">
        <f t="shared" si="17"/>
        <v>0</v>
      </c>
      <c r="AG54" s="119">
        <f t="shared" si="17"/>
        <v>0</v>
      </c>
      <c r="AH54" s="119">
        <f t="shared" si="17"/>
        <v>0</v>
      </c>
      <c r="AI54" s="119">
        <f t="shared" si="17"/>
        <v>0</v>
      </c>
      <c r="AJ54" s="119">
        <f t="shared" si="17"/>
        <v>0</v>
      </c>
      <c r="AK54" s="119">
        <f t="shared" si="17"/>
        <v>0</v>
      </c>
      <c r="AL54" s="119">
        <f t="shared" si="17"/>
        <v>0</v>
      </c>
      <c r="AM54" s="119">
        <f t="shared" si="17"/>
        <v>0</v>
      </c>
      <c r="AN54" s="119">
        <f t="shared" si="17"/>
        <v>0</v>
      </c>
      <c r="AO54" s="119">
        <f t="shared" si="17"/>
        <v>0</v>
      </c>
      <c r="AP54" s="119">
        <f t="shared" si="17"/>
        <v>0</v>
      </c>
      <c r="AQ54" s="119">
        <f t="shared" si="17"/>
        <v>0</v>
      </c>
      <c r="AR54" s="119">
        <f t="shared" si="17"/>
        <v>0</v>
      </c>
      <c r="AS54" s="119">
        <f t="shared" si="17"/>
        <v>0</v>
      </c>
      <c r="AT54" s="16">
        <f t="shared" si="17"/>
        <v>0</v>
      </c>
      <c r="AV54" s="62">
        <f>SUM(P54:AT54)</f>
        <v>287.95119081375742</v>
      </c>
      <c r="AW54" s="89"/>
      <c r="AX54" s="78"/>
    </row>
    <row r="55" spans="7:59" ht="15.75" thickBot="1" x14ac:dyDescent="0.3">
      <c r="G55" s="112"/>
      <c r="H55" s="1"/>
      <c r="L55" s="115"/>
      <c r="M55" s="75"/>
      <c r="N55" s="67"/>
      <c r="O55" s="36" t="s">
        <v>46</v>
      </c>
      <c r="P55" s="17">
        <f t="shared" ref="P55:Q55" si="18">$D$23*$D$24*P52*P$12*P$13</f>
        <v>0</v>
      </c>
      <c r="Q55" s="20">
        <f t="shared" si="18"/>
        <v>-409.09090909090907</v>
      </c>
      <c r="R55" s="17">
        <f>$D$23*$D$24*R52*R$12*R$13</f>
        <v>-371.90082644628097</v>
      </c>
      <c r="S55" s="17">
        <f t="shared" ref="S55:AT55" si="19">$D$23*$D$24*S52*S$12*S$13</f>
        <v>-338.09166040570989</v>
      </c>
      <c r="T55" s="17">
        <f t="shared" si="19"/>
        <v>-307.35605491428174</v>
      </c>
      <c r="U55" s="17">
        <f t="shared" si="19"/>
        <v>-279.41459537661973</v>
      </c>
      <c r="V55" s="17">
        <f t="shared" si="19"/>
        <v>-254.01326852419976</v>
      </c>
      <c r="W55" s="17">
        <f t="shared" si="19"/>
        <v>-230.92115320381791</v>
      </c>
      <c r="X55" s="17">
        <f t="shared" si="19"/>
        <v>-209.92832109437992</v>
      </c>
      <c r="Y55" s="17">
        <f t="shared" si="19"/>
        <v>-190.84392826761811</v>
      </c>
      <c r="Z55" s="17">
        <f t="shared" si="19"/>
        <v>0</v>
      </c>
      <c r="AA55" s="17">
        <f t="shared" si="19"/>
        <v>0</v>
      </c>
      <c r="AB55" s="17">
        <f t="shared" si="19"/>
        <v>0</v>
      </c>
      <c r="AC55" s="17">
        <f t="shared" si="19"/>
        <v>0</v>
      </c>
      <c r="AD55" s="17">
        <f t="shared" si="19"/>
        <v>0</v>
      </c>
      <c r="AE55" s="17">
        <f t="shared" si="19"/>
        <v>0</v>
      </c>
      <c r="AF55" s="17">
        <f t="shared" si="19"/>
        <v>0</v>
      </c>
      <c r="AG55" s="17">
        <f t="shared" si="19"/>
        <v>0</v>
      </c>
      <c r="AH55" s="17">
        <f t="shared" si="19"/>
        <v>0</v>
      </c>
      <c r="AI55" s="17">
        <f t="shared" si="19"/>
        <v>0</v>
      </c>
      <c r="AJ55" s="17">
        <f t="shared" si="19"/>
        <v>0</v>
      </c>
      <c r="AK55" s="17">
        <f t="shared" si="19"/>
        <v>0</v>
      </c>
      <c r="AL55" s="17">
        <f t="shared" si="19"/>
        <v>0</v>
      </c>
      <c r="AM55" s="17">
        <f t="shared" si="19"/>
        <v>0</v>
      </c>
      <c r="AN55" s="17">
        <f t="shared" si="19"/>
        <v>0</v>
      </c>
      <c r="AO55" s="17">
        <f t="shared" si="19"/>
        <v>0</v>
      </c>
      <c r="AP55" s="17">
        <f t="shared" si="19"/>
        <v>0</v>
      </c>
      <c r="AQ55" s="17">
        <f t="shared" si="19"/>
        <v>0</v>
      </c>
      <c r="AR55" s="17">
        <f t="shared" si="19"/>
        <v>0</v>
      </c>
      <c r="AS55" s="17">
        <f t="shared" si="19"/>
        <v>0</v>
      </c>
      <c r="AT55" s="18">
        <f t="shared" si="19"/>
        <v>0</v>
      </c>
      <c r="AV55" s="55">
        <f>SUM(P55:AT55)</f>
        <v>-2591.5607173238168</v>
      </c>
      <c r="AW55" s="90"/>
      <c r="AX55" s="78"/>
    </row>
    <row r="56" spans="7:59" x14ac:dyDescent="0.25">
      <c r="G56" s="112"/>
      <c r="H56" s="1"/>
      <c r="I56" s="51" t="s">
        <v>12</v>
      </c>
      <c r="J56" s="45">
        <v>20</v>
      </c>
      <c r="L56" s="115"/>
      <c r="M56" s="75"/>
      <c r="N56" s="68" t="s">
        <v>43</v>
      </c>
      <c r="O56" s="33" t="s">
        <v>8</v>
      </c>
      <c r="P56" s="15">
        <v>0</v>
      </c>
      <c r="Q56" s="14">
        <v>0</v>
      </c>
      <c r="R56" s="14">
        <v>0</v>
      </c>
      <c r="S56" s="14">
        <v>0</v>
      </c>
      <c r="T56" s="14">
        <v>0</v>
      </c>
      <c r="U56" s="14">
        <v>0</v>
      </c>
      <c r="V56" s="14">
        <v>0</v>
      </c>
      <c r="W56" s="14">
        <v>0</v>
      </c>
      <c r="X56" s="14">
        <v>0</v>
      </c>
      <c r="Y56" s="14">
        <v>0</v>
      </c>
      <c r="Z56" s="38">
        <v>1</v>
      </c>
      <c r="AA56" s="14">
        <v>0</v>
      </c>
      <c r="AB56" s="14">
        <v>0</v>
      </c>
      <c r="AC56" s="14">
        <v>0</v>
      </c>
      <c r="AD56" s="14">
        <v>0</v>
      </c>
      <c r="AE56" s="14">
        <v>0</v>
      </c>
      <c r="AF56" s="14">
        <v>0</v>
      </c>
      <c r="AG56" s="14">
        <v>0</v>
      </c>
      <c r="AH56" s="14">
        <v>0</v>
      </c>
      <c r="AI56" s="14">
        <v>0</v>
      </c>
      <c r="AJ56" s="14">
        <v>0</v>
      </c>
      <c r="AK56" s="14">
        <v>0</v>
      </c>
      <c r="AL56" s="14">
        <v>0</v>
      </c>
      <c r="AM56" s="14">
        <v>0</v>
      </c>
      <c r="AN56" s="14">
        <v>0</v>
      </c>
      <c r="AO56" s="14">
        <v>0</v>
      </c>
      <c r="AP56" s="14">
        <v>0</v>
      </c>
      <c r="AQ56" s="14">
        <v>0</v>
      </c>
      <c r="AR56" s="14">
        <v>0</v>
      </c>
      <c r="AS56" s="14">
        <v>0</v>
      </c>
      <c r="AT56" s="14">
        <v>0</v>
      </c>
      <c r="AX56" s="78"/>
    </row>
    <row r="57" spans="7:59" x14ac:dyDescent="0.25">
      <c r="G57" s="112"/>
      <c r="H57" s="1"/>
      <c r="I57" s="52" t="s">
        <v>13</v>
      </c>
      <c r="J57" s="46">
        <v>10</v>
      </c>
      <c r="L57" s="115"/>
      <c r="M57" s="75"/>
      <c r="N57" s="69"/>
      <c r="O57" s="34" t="s">
        <v>48</v>
      </c>
      <c r="P57" s="11">
        <v>0</v>
      </c>
      <c r="Q57" s="9">
        <v>0</v>
      </c>
      <c r="R57" s="9">
        <v>0</v>
      </c>
      <c r="S57" s="9">
        <v>0</v>
      </c>
      <c r="T57" s="9">
        <v>0</v>
      </c>
      <c r="U57" s="9">
        <v>0</v>
      </c>
      <c r="V57" s="9">
        <v>0</v>
      </c>
      <c r="W57" s="9">
        <v>0</v>
      </c>
      <c r="X57" s="9">
        <v>0</v>
      </c>
      <c r="Y57" s="9">
        <v>0</v>
      </c>
      <c r="Z57" s="9">
        <v>0</v>
      </c>
      <c r="AA57" s="38">
        <v>1</v>
      </c>
      <c r="AB57" s="37">
        <v>1</v>
      </c>
      <c r="AC57" s="37">
        <v>1</v>
      </c>
      <c r="AD57" s="37">
        <v>1</v>
      </c>
      <c r="AE57" s="37">
        <v>1</v>
      </c>
      <c r="AF57" s="37">
        <v>1</v>
      </c>
      <c r="AG57" s="37">
        <v>1</v>
      </c>
      <c r="AH57" s="37">
        <v>1</v>
      </c>
      <c r="AI57" s="37">
        <v>1</v>
      </c>
      <c r="AJ57" s="37">
        <v>1</v>
      </c>
      <c r="AK57" s="37">
        <v>1</v>
      </c>
      <c r="AL57" s="37">
        <v>1</v>
      </c>
      <c r="AM57" s="37">
        <v>1</v>
      </c>
      <c r="AN57" s="37">
        <v>1</v>
      </c>
      <c r="AO57" s="37">
        <v>1</v>
      </c>
      <c r="AP57" s="37">
        <v>1</v>
      </c>
      <c r="AQ57" s="37">
        <v>1</v>
      </c>
      <c r="AR57" s="37">
        <v>1</v>
      </c>
      <c r="AS57" s="37">
        <v>1</v>
      </c>
      <c r="AT57" s="9">
        <v>0</v>
      </c>
      <c r="AX57" s="78"/>
    </row>
    <row r="58" spans="7:59" ht="15.75" thickBot="1" x14ac:dyDescent="0.3">
      <c r="G58" s="112"/>
      <c r="H58" s="1"/>
      <c r="I58" s="53" t="s">
        <v>14</v>
      </c>
      <c r="J58" s="47">
        <v>1</v>
      </c>
      <c r="L58" s="115"/>
      <c r="M58" s="75"/>
      <c r="N58" s="69"/>
      <c r="O58" s="61" t="s">
        <v>47</v>
      </c>
      <c r="P58" s="11">
        <v>0</v>
      </c>
      <c r="Q58" s="9">
        <v>0</v>
      </c>
      <c r="R58" s="9">
        <v>0</v>
      </c>
      <c r="S58" s="9">
        <v>0</v>
      </c>
      <c r="T58" s="9">
        <v>0</v>
      </c>
      <c r="U58" s="9">
        <v>0</v>
      </c>
      <c r="V58" s="9">
        <v>0</v>
      </c>
      <c r="W58" s="9">
        <v>0</v>
      </c>
      <c r="X58" s="9">
        <v>0</v>
      </c>
      <c r="Y58" s="9">
        <v>0</v>
      </c>
      <c r="Z58" s="9">
        <v>0</v>
      </c>
      <c r="AA58" s="38">
        <v>1</v>
      </c>
      <c r="AB58" s="37">
        <v>1</v>
      </c>
      <c r="AC58" s="37">
        <v>1</v>
      </c>
      <c r="AD58" s="37">
        <v>1</v>
      </c>
      <c r="AE58" s="37">
        <v>1</v>
      </c>
      <c r="AF58" s="37">
        <v>1</v>
      </c>
      <c r="AG58" s="37">
        <v>1</v>
      </c>
      <c r="AH58" s="37">
        <v>1</v>
      </c>
      <c r="AI58" s="37">
        <v>1</v>
      </c>
      <c r="AJ58" s="37">
        <v>1</v>
      </c>
      <c r="AK58" s="37">
        <v>1</v>
      </c>
      <c r="AL58" s="37">
        <v>1</v>
      </c>
      <c r="AM58" s="37">
        <v>1</v>
      </c>
      <c r="AN58" s="37">
        <v>1</v>
      </c>
      <c r="AO58" s="37">
        <v>1</v>
      </c>
      <c r="AP58" s="37">
        <v>1</v>
      </c>
      <c r="AQ58" s="37">
        <v>1</v>
      </c>
      <c r="AR58" s="37">
        <v>1</v>
      </c>
      <c r="AS58" s="37">
        <v>1</v>
      </c>
      <c r="AT58" s="9">
        <v>0</v>
      </c>
      <c r="AX58" s="78"/>
    </row>
    <row r="59" spans="7:59" x14ac:dyDescent="0.25">
      <c r="G59" s="112"/>
      <c r="H59" s="1"/>
      <c r="L59" s="115"/>
      <c r="M59" s="75"/>
      <c r="N59" s="69"/>
      <c r="O59" s="56" t="s">
        <v>24</v>
      </c>
      <c r="P59" s="58">
        <f t="shared" ref="P59:Q59" si="20">$D$31*$D$32/$D$33*P56*P$13</f>
        <v>0</v>
      </c>
      <c r="Q59" s="63">
        <f t="shared" si="20"/>
        <v>0</v>
      </c>
      <c r="R59" s="58">
        <f>$D$31*$D$32/$D$33*R56*R$13</f>
        <v>0</v>
      </c>
      <c r="S59" s="58">
        <f t="shared" ref="S59:AT59" si="21">$D$31*$D$32/$D$33*S56*S$13</f>
        <v>0</v>
      </c>
      <c r="T59" s="58">
        <f t="shared" si="21"/>
        <v>0</v>
      </c>
      <c r="U59" s="58">
        <f t="shared" si="21"/>
        <v>0</v>
      </c>
      <c r="V59" s="58">
        <f t="shared" si="21"/>
        <v>0</v>
      </c>
      <c r="W59" s="58">
        <f t="shared" si="21"/>
        <v>0</v>
      </c>
      <c r="X59" s="58">
        <f t="shared" si="21"/>
        <v>0</v>
      </c>
      <c r="Y59" s="58">
        <f t="shared" si="21"/>
        <v>0</v>
      </c>
      <c r="Z59" s="58">
        <f t="shared" si="21"/>
        <v>617.1969748832654</v>
      </c>
      <c r="AA59" s="58">
        <f t="shared" si="21"/>
        <v>0</v>
      </c>
      <c r="AB59" s="58">
        <f t="shared" si="21"/>
        <v>0</v>
      </c>
      <c r="AC59" s="58">
        <f t="shared" si="21"/>
        <v>0</v>
      </c>
      <c r="AD59" s="58">
        <f t="shared" si="21"/>
        <v>0</v>
      </c>
      <c r="AE59" s="58">
        <f t="shared" si="21"/>
        <v>0</v>
      </c>
      <c r="AF59" s="58">
        <f t="shared" si="21"/>
        <v>0</v>
      </c>
      <c r="AG59" s="58">
        <f t="shared" si="21"/>
        <v>0</v>
      </c>
      <c r="AH59" s="58">
        <f t="shared" si="21"/>
        <v>0</v>
      </c>
      <c r="AI59" s="58">
        <f t="shared" si="21"/>
        <v>0</v>
      </c>
      <c r="AJ59" s="58">
        <f t="shared" si="21"/>
        <v>0</v>
      </c>
      <c r="AK59" s="58">
        <f t="shared" si="21"/>
        <v>0</v>
      </c>
      <c r="AL59" s="58">
        <f t="shared" si="21"/>
        <v>0</v>
      </c>
      <c r="AM59" s="58">
        <f t="shared" si="21"/>
        <v>0</v>
      </c>
      <c r="AN59" s="58">
        <f t="shared" si="21"/>
        <v>0</v>
      </c>
      <c r="AO59" s="58">
        <f t="shared" si="21"/>
        <v>0</v>
      </c>
      <c r="AP59" s="58">
        <f t="shared" si="21"/>
        <v>0</v>
      </c>
      <c r="AQ59" s="58">
        <f t="shared" si="21"/>
        <v>0</v>
      </c>
      <c r="AR59" s="58">
        <f t="shared" si="21"/>
        <v>0</v>
      </c>
      <c r="AS59" s="58">
        <f t="shared" si="21"/>
        <v>0</v>
      </c>
      <c r="AT59" s="59">
        <f t="shared" si="21"/>
        <v>0</v>
      </c>
      <c r="AV59" s="54">
        <f>SUM(P59:AT59)</f>
        <v>617.1969748832654</v>
      </c>
      <c r="AW59" s="88">
        <f>SUM(AV59:AV61)</f>
        <v>-27.810786713227458</v>
      </c>
      <c r="AX59" s="78"/>
    </row>
    <row r="60" spans="7:59" x14ac:dyDescent="0.25">
      <c r="G60" s="112"/>
      <c r="H60" s="1"/>
      <c r="L60" s="115"/>
      <c r="M60" s="75"/>
      <c r="N60" s="69"/>
      <c r="O60" s="35" t="s">
        <v>45</v>
      </c>
      <c r="P60" s="7">
        <f t="shared" ref="P60:Q60" si="22">$D$37*$D$38*P57*P$12*P$13</f>
        <v>0</v>
      </c>
      <c r="Q60" s="19">
        <f t="shared" si="22"/>
        <v>0</v>
      </c>
      <c r="R60" s="119">
        <f>$D$37*$D$38*R57*R$12*R$13</f>
        <v>0</v>
      </c>
      <c r="S60" s="119">
        <f t="shared" ref="S60:AT60" si="23">$D$37*$D$38*S57*S$12*S$13</f>
        <v>0</v>
      </c>
      <c r="T60" s="119">
        <f t="shared" si="23"/>
        <v>0</v>
      </c>
      <c r="U60" s="119">
        <f t="shared" si="23"/>
        <v>0</v>
      </c>
      <c r="V60" s="119">
        <f t="shared" si="23"/>
        <v>0</v>
      </c>
      <c r="W60" s="119">
        <f t="shared" si="23"/>
        <v>0</v>
      </c>
      <c r="X60" s="119">
        <f t="shared" si="23"/>
        <v>0</v>
      </c>
      <c r="Y60" s="119">
        <f t="shared" si="23"/>
        <v>0</v>
      </c>
      <c r="Z60" s="119">
        <f t="shared" si="23"/>
        <v>0</v>
      </c>
      <c r="AA60" s="119">
        <f t="shared" si="23"/>
        <v>8.7623474870348055</v>
      </c>
      <c r="AB60" s="119">
        <f t="shared" si="23"/>
        <v>7.965770442758914</v>
      </c>
      <c r="AC60" s="119">
        <f t="shared" si="23"/>
        <v>7.2416094934171946</v>
      </c>
      <c r="AD60" s="119">
        <f t="shared" si="23"/>
        <v>6.5832813576519928</v>
      </c>
      <c r="AE60" s="119">
        <f t="shared" si="23"/>
        <v>5.9848012342290851</v>
      </c>
      <c r="AF60" s="119">
        <f t="shared" si="23"/>
        <v>5.4407283947537133</v>
      </c>
      <c r="AG60" s="119">
        <f t="shared" si="23"/>
        <v>4.9461167225033753</v>
      </c>
      <c r="AH60" s="119">
        <f t="shared" si="23"/>
        <v>4.496469747730341</v>
      </c>
      <c r="AI60" s="119">
        <f t="shared" si="23"/>
        <v>4.0876997706639457</v>
      </c>
      <c r="AJ60" s="119">
        <f t="shared" si="23"/>
        <v>3.7160907006035875</v>
      </c>
      <c r="AK60" s="119">
        <f t="shared" si="23"/>
        <v>3.3782642732759882</v>
      </c>
      <c r="AL60" s="119">
        <f t="shared" si="23"/>
        <v>3.0711493393418068</v>
      </c>
      <c r="AM60" s="119">
        <f t="shared" si="23"/>
        <v>2.7919539448561879</v>
      </c>
      <c r="AN60" s="119">
        <f t="shared" si="23"/>
        <v>2.5381399498692621</v>
      </c>
      <c r="AO60" s="119">
        <f t="shared" si="23"/>
        <v>2.3073999544266011</v>
      </c>
      <c r="AP60" s="119">
        <f t="shared" si="23"/>
        <v>2.097636322206001</v>
      </c>
      <c r="AQ60" s="119">
        <f t="shared" si="23"/>
        <v>1.9069421110963645</v>
      </c>
      <c r="AR60" s="119">
        <f t="shared" si="23"/>
        <v>1.7335837373603311</v>
      </c>
      <c r="AS60" s="119">
        <f t="shared" si="23"/>
        <v>1.575985215782119</v>
      </c>
      <c r="AT60" s="16">
        <f t="shared" si="23"/>
        <v>0</v>
      </c>
      <c r="AV60" s="62">
        <f>SUM(P60:AT60)</f>
        <v>80.625970199561621</v>
      </c>
      <c r="AW60" s="89"/>
      <c r="AX60" s="78"/>
    </row>
    <row r="61" spans="7:59" ht="15.75" thickBot="1" x14ac:dyDescent="0.3">
      <c r="G61" s="112"/>
      <c r="H61" s="1"/>
      <c r="L61" s="116"/>
      <c r="M61" s="76"/>
      <c r="N61" s="70"/>
      <c r="O61" s="36" t="s">
        <v>46</v>
      </c>
      <c r="P61" s="17">
        <f t="shared" ref="P61:Q61" si="24">$D$41*$D$42*P58*P$12*P$13</f>
        <v>0</v>
      </c>
      <c r="Q61" s="20">
        <f t="shared" si="24"/>
        <v>0</v>
      </c>
      <c r="R61" s="17">
        <f>$D$41*$D$42*R58*R$12*R$13</f>
        <v>0</v>
      </c>
      <c r="S61" s="17">
        <f t="shared" ref="S61:AT61" si="25">$D$41*$D$42*S58*S$12*S$13</f>
        <v>0</v>
      </c>
      <c r="T61" s="17">
        <f t="shared" si="25"/>
        <v>0</v>
      </c>
      <c r="U61" s="17">
        <f t="shared" si="25"/>
        <v>0</v>
      </c>
      <c r="V61" s="17">
        <f t="shared" si="25"/>
        <v>0</v>
      </c>
      <c r="W61" s="17">
        <f t="shared" si="25"/>
        <v>0</v>
      </c>
      <c r="X61" s="17">
        <f t="shared" si="25"/>
        <v>0</v>
      </c>
      <c r="Y61" s="17">
        <f t="shared" si="25"/>
        <v>0</v>
      </c>
      <c r="Z61" s="17">
        <f t="shared" si="25"/>
        <v>0</v>
      </c>
      <c r="AA61" s="17">
        <f t="shared" si="25"/>
        <v>-78.861127383313246</v>
      </c>
      <c r="AB61" s="17">
        <f t="shared" si="25"/>
        <v>-71.691933984830229</v>
      </c>
      <c r="AC61" s="17">
        <f t="shared" si="25"/>
        <v>-65.174485440754751</v>
      </c>
      <c r="AD61" s="17">
        <f t="shared" si="25"/>
        <v>-59.249532218867941</v>
      </c>
      <c r="AE61" s="17">
        <f t="shared" si="25"/>
        <v>-53.863211108061762</v>
      </c>
      <c r="AF61" s="17">
        <f t="shared" si="25"/>
        <v>-48.966555552783419</v>
      </c>
      <c r="AG61" s="17">
        <f t="shared" si="25"/>
        <v>-44.515050502530379</v>
      </c>
      <c r="AH61" s="17">
        <f t="shared" si="25"/>
        <v>-40.468227729573066</v>
      </c>
      <c r="AI61" s="17">
        <f t="shared" si="25"/>
        <v>-36.789297935975512</v>
      </c>
      <c r="AJ61" s="17">
        <f t="shared" si="25"/>
        <v>-33.444816305432283</v>
      </c>
      <c r="AK61" s="17">
        <f t="shared" si="25"/>
        <v>-30.404378459483894</v>
      </c>
      <c r="AL61" s="17">
        <f t="shared" si="25"/>
        <v>-27.640344054076262</v>
      </c>
      <c r="AM61" s="17">
        <f t="shared" si="25"/>
        <v>-25.127585503705692</v>
      </c>
      <c r="AN61" s="17">
        <f t="shared" si="25"/>
        <v>-22.843259548823358</v>
      </c>
      <c r="AO61" s="17">
        <f t="shared" si="25"/>
        <v>-20.766599589839412</v>
      </c>
      <c r="AP61" s="17">
        <f t="shared" si="25"/>
        <v>-18.878726899854009</v>
      </c>
      <c r="AQ61" s="17">
        <f t="shared" si="25"/>
        <v>-17.162478999867279</v>
      </c>
      <c r="AR61" s="17">
        <f t="shared" si="25"/>
        <v>-15.602253636242979</v>
      </c>
      <c r="AS61" s="17">
        <f t="shared" si="25"/>
        <v>-14.183866942039073</v>
      </c>
      <c r="AT61" s="18">
        <f t="shared" si="25"/>
        <v>0</v>
      </c>
      <c r="AV61" s="55">
        <f>SUM(P61:AT61)</f>
        <v>-725.63373179605446</v>
      </c>
      <c r="AW61" s="90"/>
      <c r="AX61" s="79"/>
    </row>
    <row r="62" spans="7:59" ht="15.75" thickBot="1" x14ac:dyDescent="0.3">
      <c r="G62" s="112"/>
    </row>
    <row r="63" spans="7:59" ht="15.75" thickBot="1" x14ac:dyDescent="0.3">
      <c r="G63" s="112"/>
      <c r="AY63" s="65" t="s">
        <v>50</v>
      </c>
      <c r="AZ63" s="65" t="s">
        <v>52</v>
      </c>
    </row>
    <row r="64" spans="7:59" x14ac:dyDescent="0.25">
      <c r="G64" s="112"/>
      <c r="AY64" s="83">
        <f>AX53-AX70</f>
        <v>154.21731577181254</v>
      </c>
      <c r="AZ64" s="95">
        <f>AY64/AX53</f>
        <v>0.25862783765304304</v>
      </c>
      <c r="BB64" s="122" t="s">
        <v>62</v>
      </c>
      <c r="BC64" s="123"/>
      <c r="BD64" s="123"/>
      <c r="BE64" s="123"/>
      <c r="BF64" s="123"/>
      <c r="BG64" s="124"/>
    </row>
    <row r="65" spans="7:59" x14ac:dyDescent="0.25">
      <c r="G65" s="112"/>
      <c r="AY65" s="84"/>
      <c r="AZ65" s="96"/>
      <c r="BB65" s="125"/>
      <c r="BC65" s="126"/>
      <c r="BD65" s="126"/>
      <c r="BE65" s="126"/>
      <c r="BF65" s="126"/>
      <c r="BG65" s="127"/>
    </row>
    <row r="66" spans="7:59" ht="15.75" thickBot="1" x14ac:dyDescent="0.3">
      <c r="G66" s="112"/>
      <c r="AY66" s="85"/>
      <c r="AZ66" s="97"/>
      <c r="BB66" s="128"/>
      <c r="BC66" s="129"/>
      <c r="BD66" s="129"/>
      <c r="BE66" s="129"/>
      <c r="BF66" s="129"/>
      <c r="BG66" s="130"/>
    </row>
    <row r="67" spans="7:59" x14ac:dyDescent="0.25">
      <c r="G67" s="112"/>
      <c r="I67" s="48" t="s">
        <v>12</v>
      </c>
      <c r="J67" s="45">
        <v>10</v>
      </c>
      <c r="K67" s="1"/>
      <c r="L67" s="114" t="s">
        <v>54</v>
      </c>
      <c r="M67" s="74" t="s">
        <v>51</v>
      </c>
      <c r="N67" s="66" t="s">
        <v>44</v>
      </c>
      <c r="O67" s="33" t="s">
        <v>8</v>
      </c>
      <c r="P67" s="60">
        <v>1</v>
      </c>
      <c r="Q67" s="14">
        <v>0</v>
      </c>
      <c r="R67" s="14">
        <v>0</v>
      </c>
      <c r="S67" s="14">
        <v>0</v>
      </c>
      <c r="T67" s="14">
        <v>0</v>
      </c>
      <c r="U67" s="14">
        <v>0</v>
      </c>
      <c r="V67" s="14">
        <v>0</v>
      </c>
      <c r="W67" s="14">
        <v>0</v>
      </c>
      <c r="X67" s="14">
        <v>0</v>
      </c>
      <c r="Y67" s="14">
        <v>0</v>
      </c>
      <c r="Z67" s="14">
        <v>0</v>
      </c>
      <c r="AA67" s="14">
        <v>0</v>
      </c>
      <c r="AB67" s="14">
        <v>0</v>
      </c>
      <c r="AC67" s="14">
        <v>0</v>
      </c>
      <c r="AD67" s="14">
        <v>0</v>
      </c>
      <c r="AE67" s="14">
        <v>0</v>
      </c>
      <c r="AF67" s="14">
        <v>0</v>
      </c>
      <c r="AG67" s="14">
        <v>0</v>
      </c>
      <c r="AH67" s="14">
        <v>0</v>
      </c>
      <c r="AI67" s="14">
        <v>0</v>
      </c>
      <c r="AJ67" s="14">
        <v>0</v>
      </c>
      <c r="AK67" s="14">
        <v>0</v>
      </c>
      <c r="AL67" s="14">
        <v>0</v>
      </c>
      <c r="AM67" s="14">
        <v>0</v>
      </c>
      <c r="AN67" s="14">
        <v>0</v>
      </c>
      <c r="AO67" s="14">
        <v>0</v>
      </c>
      <c r="AP67" s="14">
        <v>0</v>
      </c>
      <c r="AQ67" s="14">
        <v>0</v>
      </c>
      <c r="AR67" s="14">
        <v>0</v>
      </c>
      <c r="AS67" s="14">
        <v>0</v>
      </c>
      <c r="AT67" s="14">
        <v>0</v>
      </c>
      <c r="AV67" s="1"/>
      <c r="AW67" s="1"/>
    </row>
    <row r="68" spans="7:59" x14ac:dyDescent="0.25">
      <c r="G68" s="112"/>
      <c r="I68" s="49" t="s">
        <v>13</v>
      </c>
      <c r="J68" s="46">
        <v>0</v>
      </c>
      <c r="K68" s="1"/>
      <c r="L68" s="115"/>
      <c r="M68" s="75"/>
      <c r="N68" s="67"/>
      <c r="O68" s="34" t="s">
        <v>48</v>
      </c>
      <c r="P68" s="11">
        <v>0</v>
      </c>
      <c r="Q68" s="38">
        <v>1</v>
      </c>
      <c r="R68" s="37">
        <v>1</v>
      </c>
      <c r="S68" s="37">
        <v>1</v>
      </c>
      <c r="T68" s="37">
        <v>1</v>
      </c>
      <c r="U68" s="37">
        <v>1</v>
      </c>
      <c r="V68" s="37">
        <v>1</v>
      </c>
      <c r="W68" s="37">
        <v>1</v>
      </c>
      <c r="X68" s="37">
        <v>1</v>
      </c>
      <c r="Y68" s="37">
        <v>1</v>
      </c>
      <c r="Z68" s="37">
        <v>1</v>
      </c>
      <c r="AA68" s="9">
        <v>0</v>
      </c>
      <c r="AB68" s="9">
        <v>0</v>
      </c>
      <c r="AC68" s="9">
        <v>0</v>
      </c>
      <c r="AD68" s="9">
        <v>0</v>
      </c>
      <c r="AE68" s="9">
        <v>0</v>
      </c>
      <c r="AF68" s="9">
        <v>0</v>
      </c>
      <c r="AG68" s="9">
        <v>0</v>
      </c>
      <c r="AH68" s="9">
        <v>0</v>
      </c>
      <c r="AI68" s="9">
        <v>0</v>
      </c>
      <c r="AJ68" s="9">
        <v>0</v>
      </c>
      <c r="AK68" s="9">
        <v>0</v>
      </c>
      <c r="AL68" s="9">
        <v>0</v>
      </c>
      <c r="AM68" s="9">
        <v>0</v>
      </c>
      <c r="AN68" s="9">
        <v>0</v>
      </c>
      <c r="AO68" s="9">
        <v>0</v>
      </c>
      <c r="AP68" s="9">
        <v>0</v>
      </c>
      <c r="AQ68" s="9">
        <v>0</v>
      </c>
      <c r="AR68" s="9">
        <v>0</v>
      </c>
      <c r="AS68" s="9">
        <v>0</v>
      </c>
      <c r="AT68" s="9">
        <v>0</v>
      </c>
      <c r="AV68" s="1"/>
      <c r="AW68" s="1"/>
      <c r="AX68" s="1"/>
    </row>
    <row r="69" spans="7:59" ht="15.75" thickBot="1" x14ac:dyDescent="0.3">
      <c r="G69" s="112"/>
      <c r="I69" s="50" t="s">
        <v>14</v>
      </c>
      <c r="J69" s="47">
        <v>1</v>
      </c>
      <c r="K69" s="1"/>
      <c r="L69" s="115"/>
      <c r="M69" s="75"/>
      <c r="N69" s="67"/>
      <c r="O69" s="61" t="s">
        <v>47</v>
      </c>
      <c r="P69" s="11">
        <v>0</v>
      </c>
      <c r="Q69" s="38">
        <v>1</v>
      </c>
      <c r="R69" s="37">
        <v>1</v>
      </c>
      <c r="S69" s="37">
        <v>1</v>
      </c>
      <c r="T69" s="37">
        <v>1</v>
      </c>
      <c r="U69" s="37">
        <v>1</v>
      </c>
      <c r="V69" s="37">
        <v>1</v>
      </c>
      <c r="W69" s="37">
        <v>1</v>
      </c>
      <c r="X69" s="37">
        <v>1</v>
      </c>
      <c r="Y69" s="37">
        <v>1</v>
      </c>
      <c r="Z69" s="37">
        <v>1</v>
      </c>
      <c r="AA69" s="9">
        <v>0</v>
      </c>
      <c r="AB69" s="9">
        <v>0</v>
      </c>
      <c r="AC69" s="9">
        <v>0</v>
      </c>
      <c r="AD69" s="9">
        <v>0</v>
      </c>
      <c r="AE69" s="9">
        <v>0</v>
      </c>
      <c r="AF69" s="9">
        <v>0</v>
      </c>
      <c r="AG69" s="9">
        <v>0</v>
      </c>
      <c r="AH69" s="9">
        <v>0</v>
      </c>
      <c r="AI69" s="9">
        <v>0</v>
      </c>
      <c r="AJ69" s="9">
        <v>0</v>
      </c>
      <c r="AK69" s="9">
        <v>0</v>
      </c>
      <c r="AL69" s="9">
        <v>0</v>
      </c>
      <c r="AM69" s="9">
        <v>0</v>
      </c>
      <c r="AN69" s="9">
        <v>0</v>
      </c>
      <c r="AO69" s="9">
        <v>0</v>
      </c>
      <c r="AP69" s="9">
        <v>0</v>
      </c>
      <c r="AQ69" s="9">
        <v>0</v>
      </c>
      <c r="AR69" s="9">
        <v>0</v>
      </c>
      <c r="AS69" s="9">
        <v>0</v>
      </c>
      <c r="AT69" s="9">
        <v>0</v>
      </c>
    </row>
    <row r="70" spans="7:59" x14ac:dyDescent="0.25">
      <c r="G70" s="112"/>
      <c r="I70" s="6"/>
      <c r="J70" s="1"/>
      <c r="K70" s="1"/>
      <c r="L70" s="115"/>
      <c r="M70" s="75"/>
      <c r="N70" s="67"/>
      <c r="O70" s="56" t="s">
        <v>24</v>
      </c>
      <c r="P70" s="58">
        <f t="shared" ref="P70:Q70" si="26">$D$12*$D$13/$D$14*P67*P$13</f>
        <v>2899.9</v>
      </c>
      <c r="Q70" s="63">
        <f t="shared" si="26"/>
        <v>0</v>
      </c>
      <c r="R70" s="58">
        <f>$D$12*$D$13/$D$14*R67*R$13</f>
        <v>0</v>
      </c>
      <c r="S70" s="58">
        <f t="shared" ref="S70:AT70" si="27">$D$12*$D$13/$D$14*S67*S$13</f>
        <v>0</v>
      </c>
      <c r="T70" s="58">
        <f t="shared" si="27"/>
        <v>0</v>
      </c>
      <c r="U70" s="58">
        <f t="shared" si="27"/>
        <v>0</v>
      </c>
      <c r="V70" s="58">
        <f t="shared" si="27"/>
        <v>0</v>
      </c>
      <c r="W70" s="58">
        <f t="shared" si="27"/>
        <v>0</v>
      </c>
      <c r="X70" s="58">
        <f t="shared" si="27"/>
        <v>0</v>
      </c>
      <c r="Y70" s="58">
        <f t="shared" si="27"/>
        <v>0</v>
      </c>
      <c r="Z70" s="58">
        <f t="shared" si="27"/>
        <v>0</v>
      </c>
      <c r="AA70" s="58">
        <f t="shared" si="27"/>
        <v>0</v>
      </c>
      <c r="AB70" s="58">
        <f t="shared" si="27"/>
        <v>0</v>
      </c>
      <c r="AC70" s="58">
        <f t="shared" si="27"/>
        <v>0</v>
      </c>
      <c r="AD70" s="58">
        <f t="shared" si="27"/>
        <v>0</v>
      </c>
      <c r="AE70" s="58">
        <f t="shared" si="27"/>
        <v>0</v>
      </c>
      <c r="AF70" s="58">
        <f t="shared" si="27"/>
        <v>0</v>
      </c>
      <c r="AG70" s="58">
        <f t="shared" si="27"/>
        <v>0</v>
      </c>
      <c r="AH70" s="58">
        <f t="shared" si="27"/>
        <v>0</v>
      </c>
      <c r="AI70" s="58">
        <f t="shared" si="27"/>
        <v>0</v>
      </c>
      <c r="AJ70" s="58">
        <f t="shared" si="27"/>
        <v>0</v>
      </c>
      <c r="AK70" s="58">
        <f t="shared" si="27"/>
        <v>0</v>
      </c>
      <c r="AL70" s="58">
        <f t="shared" si="27"/>
        <v>0</v>
      </c>
      <c r="AM70" s="58">
        <f t="shared" si="27"/>
        <v>0</v>
      </c>
      <c r="AN70" s="58">
        <f t="shared" si="27"/>
        <v>0</v>
      </c>
      <c r="AO70" s="58">
        <f t="shared" si="27"/>
        <v>0</v>
      </c>
      <c r="AP70" s="58">
        <f t="shared" si="27"/>
        <v>0</v>
      </c>
      <c r="AQ70" s="58">
        <f t="shared" si="27"/>
        <v>0</v>
      </c>
      <c r="AR70" s="58">
        <f t="shared" si="27"/>
        <v>0</v>
      </c>
      <c r="AS70" s="58">
        <f t="shared" si="27"/>
        <v>0</v>
      </c>
      <c r="AT70" s="59">
        <f t="shared" si="27"/>
        <v>0</v>
      </c>
      <c r="AV70" s="54">
        <f>SUM(P70:AT70)</f>
        <v>2899.9</v>
      </c>
      <c r="AW70" s="88">
        <f>SUM(AV70:AV72)</f>
        <v>442.07315771812819</v>
      </c>
      <c r="AX70" s="77">
        <f>SUM(AW70,AW77)</f>
        <v>442.07315771812819</v>
      </c>
    </row>
    <row r="71" spans="7:59" x14ac:dyDescent="0.25">
      <c r="G71" s="112"/>
      <c r="L71" s="115"/>
      <c r="M71" s="75"/>
      <c r="N71" s="67"/>
      <c r="O71" s="35" t="s">
        <v>45</v>
      </c>
      <c r="P71" s="119">
        <f t="shared" ref="P71:Q71" si="28">$D$19*$D$20*P68*P$12*P$13</f>
        <v>0</v>
      </c>
      <c r="Q71" s="19">
        <f t="shared" si="28"/>
        <v>45.454545454545453</v>
      </c>
      <c r="R71" s="119">
        <f>$D$19*$D$20*R68*R$12*R$13</f>
        <v>41.322314049586772</v>
      </c>
      <c r="S71" s="119">
        <f t="shared" ref="S71:AT71" si="29">$D$19*$D$20*S68*S$12*S$13</f>
        <v>37.565740045078876</v>
      </c>
      <c r="T71" s="119">
        <f t="shared" si="29"/>
        <v>34.150672768253528</v>
      </c>
      <c r="U71" s="119">
        <f t="shared" si="29"/>
        <v>31.046066152957746</v>
      </c>
      <c r="V71" s="119">
        <f t="shared" si="29"/>
        <v>28.22369650268886</v>
      </c>
      <c r="W71" s="119">
        <f t="shared" si="29"/>
        <v>25.657905911535323</v>
      </c>
      <c r="X71" s="119">
        <f t="shared" si="29"/>
        <v>23.325369010486657</v>
      </c>
      <c r="Y71" s="119">
        <f t="shared" si="29"/>
        <v>21.204880918624234</v>
      </c>
      <c r="Z71" s="119">
        <f t="shared" si="29"/>
        <v>19.277164471476574</v>
      </c>
      <c r="AA71" s="119">
        <f t="shared" si="29"/>
        <v>0</v>
      </c>
      <c r="AB71" s="119">
        <f t="shared" si="29"/>
        <v>0</v>
      </c>
      <c r="AC71" s="119">
        <f t="shared" si="29"/>
        <v>0</v>
      </c>
      <c r="AD71" s="119">
        <f t="shared" si="29"/>
        <v>0</v>
      </c>
      <c r="AE71" s="119">
        <f t="shared" si="29"/>
        <v>0</v>
      </c>
      <c r="AF71" s="119">
        <f t="shared" si="29"/>
        <v>0</v>
      </c>
      <c r="AG71" s="119">
        <f t="shared" si="29"/>
        <v>0</v>
      </c>
      <c r="AH71" s="119">
        <f t="shared" si="29"/>
        <v>0</v>
      </c>
      <c r="AI71" s="119">
        <f t="shared" si="29"/>
        <v>0</v>
      </c>
      <c r="AJ71" s="119">
        <f t="shared" si="29"/>
        <v>0</v>
      </c>
      <c r="AK71" s="119">
        <f t="shared" si="29"/>
        <v>0</v>
      </c>
      <c r="AL71" s="119">
        <f t="shared" si="29"/>
        <v>0</v>
      </c>
      <c r="AM71" s="119">
        <f t="shared" si="29"/>
        <v>0</v>
      </c>
      <c r="AN71" s="119">
        <f t="shared" si="29"/>
        <v>0</v>
      </c>
      <c r="AO71" s="119">
        <f t="shared" si="29"/>
        <v>0</v>
      </c>
      <c r="AP71" s="119">
        <f t="shared" si="29"/>
        <v>0</v>
      </c>
      <c r="AQ71" s="119">
        <f t="shared" si="29"/>
        <v>0</v>
      </c>
      <c r="AR71" s="119">
        <f t="shared" si="29"/>
        <v>0</v>
      </c>
      <c r="AS71" s="119">
        <f t="shared" si="29"/>
        <v>0</v>
      </c>
      <c r="AT71" s="16">
        <f t="shared" si="29"/>
        <v>0</v>
      </c>
      <c r="AV71" s="62">
        <f>SUM(P71:AT71)</f>
        <v>307.22835528523399</v>
      </c>
      <c r="AW71" s="89"/>
      <c r="AX71" s="78"/>
    </row>
    <row r="72" spans="7:59" ht="15.75" thickBot="1" x14ac:dyDescent="0.3">
      <c r="G72" s="112"/>
      <c r="L72" s="115"/>
      <c r="M72" s="75"/>
      <c r="N72" s="67"/>
      <c r="O72" s="36" t="s">
        <v>46</v>
      </c>
      <c r="P72" s="17">
        <f t="shared" ref="P72:Q72" si="30">$D$23*$D$24*P69*P$12*P$13</f>
        <v>0</v>
      </c>
      <c r="Q72" s="20">
        <f t="shared" si="30"/>
        <v>-409.09090909090907</v>
      </c>
      <c r="R72" s="17">
        <f>$D$23*$D$24*R69*R$12*R$13</f>
        <v>-371.90082644628097</v>
      </c>
      <c r="S72" s="17">
        <f t="shared" ref="S72:AT72" si="31">$D$23*$D$24*S69*S$12*S$13</f>
        <v>-338.09166040570989</v>
      </c>
      <c r="T72" s="17">
        <f t="shared" si="31"/>
        <v>-307.35605491428174</v>
      </c>
      <c r="U72" s="17">
        <f t="shared" si="31"/>
        <v>-279.41459537661973</v>
      </c>
      <c r="V72" s="17">
        <f t="shared" si="31"/>
        <v>-254.01326852419976</v>
      </c>
      <c r="W72" s="17">
        <f t="shared" si="31"/>
        <v>-230.92115320381791</v>
      </c>
      <c r="X72" s="17">
        <f t="shared" si="31"/>
        <v>-209.92832109437992</v>
      </c>
      <c r="Y72" s="17">
        <f t="shared" si="31"/>
        <v>-190.84392826761811</v>
      </c>
      <c r="Z72" s="17">
        <f t="shared" si="31"/>
        <v>-173.49448024328916</v>
      </c>
      <c r="AA72" s="17">
        <f t="shared" si="31"/>
        <v>0</v>
      </c>
      <c r="AB72" s="17">
        <f t="shared" si="31"/>
        <v>0</v>
      </c>
      <c r="AC72" s="17">
        <f t="shared" si="31"/>
        <v>0</v>
      </c>
      <c r="AD72" s="17">
        <f t="shared" si="31"/>
        <v>0</v>
      </c>
      <c r="AE72" s="17">
        <f t="shared" si="31"/>
        <v>0</v>
      </c>
      <c r="AF72" s="17">
        <f t="shared" si="31"/>
        <v>0</v>
      </c>
      <c r="AG72" s="17">
        <f t="shared" si="31"/>
        <v>0</v>
      </c>
      <c r="AH72" s="17">
        <f t="shared" si="31"/>
        <v>0</v>
      </c>
      <c r="AI72" s="17">
        <f t="shared" si="31"/>
        <v>0</v>
      </c>
      <c r="AJ72" s="17">
        <f t="shared" si="31"/>
        <v>0</v>
      </c>
      <c r="AK72" s="17">
        <f t="shared" si="31"/>
        <v>0</v>
      </c>
      <c r="AL72" s="17">
        <f t="shared" si="31"/>
        <v>0</v>
      </c>
      <c r="AM72" s="17">
        <f t="shared" si="31"/>
        <v>0</v>
      </c>
      <c r="AN72" s="17">
        <f t="shared" si="31"/>
        <v>0</v>
      </c>
      <c r="AO72" s="17">
        <f t="shared" si="31"/>
        <v>0</v>
      </c>
      <c r="AP72" s="17">
        <f t="shared" si="31"/>
        <v>0</v>
      </c>
      <c r="AQ72" s="17">
        <f t="shared" si="31"/>
        <v>0</v>
      </c>
      <c r="AR72" s="17">
        <f t="shared" si="31"/>
        <v>0</v>
      </c>
      <c r="AS72" s="17">
        <f t="shared" si="31"/>
        <v>0</v>
      </c>
      <c r="AT72" s="18">
        <f t="shared" si="31"/>
        <v>0</v>
      </c>
      <c r="AV72" s="55">
        <f>SUM(P72:AT72)</f>
        <v>-2765.055197567106</v>
      </c>
      <c r="AW72" s="90"/>
      <c r="AX72" s="78"/>
    </row>
    <row r="73" spans="7:59" x14ac:dyDescent="0.25">
      <c r="G73" s="112"/>
      <c r="I73" s="51" t="s">
        <v>12</v>
      </c>
      <c r="J73" s="45">
        <v>20</v>
      </c>
      <c r="L73" s="115"/>
      <c r="M73" s="75"/>
      <c r="N73" s="68" t="s">
        <v>43</v>
      </c>
      <c r="O73" s="33" t="s">
        <v>8</v>
      </c>
      <c r="P73" s="26">
        <v>0</v>
      </c>
      <c r="Q73" s="14">
        <v>0</v>
      </c>
      <c r="R73" s="14">
        <v>0</v>
      </c>
      <c r="S73" s="14">
        <v>0</v>
      </c>
      <c r="T73" s="14">
        <v>0</v>
      </c>
      <c r="U73" s="14">
        <v>0</v>
      </c>
      <c r="V73" s="14">
        <v>0</v>
      </c>
      <c r="W73" s="14">
        <v>0</v>
      </c>
      <c r="X73" s="14">
        <v>0</v>
      </c>
      <c r="Y73" s="14">
        <v>0</v>
      </c>
      <c r="Z73" s="38">
        <v>1</v>
      </c>
      <c r="AA73" s="14">
        <v>0</v>
      </c>
      <c r="AB73" s="14">
        <v>0</v>
      </c>
      <c r="AC73" s="14">
        <v>0</v>
      </c>
      <c r="AD73" s="14">
        <v>0</v>
      </c>
      <c r="AE73" s="14">
        <v>0</v>
      </c>
      <c r="AF73" s="14">
        <v>0</v>
      </c>
      <c r="AG73" s="14">
        <v>0</v>
      </c>
      <c r="AH73" s="14">
        <v>0</v>
      </c>
      <c r="AI73" s="14">
        <v>0</v>
      </c>
      <c r="AJ73" s="14">
        <v>0</v>
      </c>
      <c r="AK73" s="14">
        <v>0</v>
      </c>
      <c r="AL73" s="14">
        <v>0</v>
      </c>
      <c r="AM73" s="14">
        <v>0</v>
      </c>
      <c r="AN73" s="14">
        <v>0</v>
      </c>
      <c r="AO73" s="14">
        <v>0</v>
      </c>
      <c r="AP73" s="14">
        <v>0</v>
      </c>
      <c r="AQ73" s="14">
        <v>0</v>
      </c>
      <c r="AR73" s="14">
        <v>0</v>
      </c>
      <c r="AS73" s="14">
        <v>0</v>
      </c>
      <c r="AT73" s="14">
        <v>0</v>
      </c>
      <c r="AX73" s="78"/>
    </row>
    <row r="74" spans="7:59" x14ac:dyDescent="0.25">
      <c r="G74" s="112"/>
      <c r="I74" s="52" t="s">
        <v>13</v>
      </c>
      <c r="J74" s="46">
        <v>10</v>
      </c>
      <c r="L74" s="115"/>
      <c r="M74" s="75"/>
      <c r="N74" s="69"/>
      <c r="O74" s="34" t="s">
        <v>48</v>
      </c>
      <c r="P74" s="22">
        <v>0</v>
      </c>
      <c r="Q74" s="9">
        <v>0</v>
      </c>
      <c r="R74" s="9">
        <v>0</v>
      </c>
      <c r="S74" s="9">
        <v>0</v>
      </c>
      <c r="T74" s="9">
        <v>0</v>
      </c>
      <c r="U74" s="9">
        <v>0</v>
      </c>
      <c r="V74" s="9">
        <v>0</v>
      </c>
      <c r="W74" s="9">
        <v>0</v>
      </c>
      <c r="X74" s="9">
        <v>0</v>
      </c>
      <c r="Y74" s="9">
        <v>0</v>
      </c>
      <c r="Z74" s="9">
        <v>0</v>
      </c>
      <c r="AA74" s="38">
        <v>1</v>
      </c>
      <c r="AB74" s="37">
        <v>1</v>
      </c>
      <c r="AC74" s="37">
        <v>1</v>
      </c>
      <c r="AD74" s="37">
        <v>1</v>
      </c>
      <c r="AE74" s="37">
        <v>1</v>
      </c>
      <c r="AF74" s="37">
        <v>1</v>
      </c>
      <c r="AG74" s="37">
        <v>1</v>
      </c>
      <c r="AH74" s="37">
        <v>1</v>
      </c>
      <c r="AI74" s="37">
        <v>1</v>
      </c>
      <c r="AJ74" s="37">
        <v>1</v>
      </c>
      <c r="AK74" s="37">
        <v>1</v>
      </c>
      <c r="AL74" s="37">
        <v>1</v>
      </c>
      <c r="AM74" s="37">
        <v>1</v>
      </c>
      <c r="AN74" s="37">
        <v>1</v>
      </c>
      <c r="AO74" s="37">
        <v>1</v>
      </c>
      <c r="AP74" s="37">
        <v>1</v>
      </c>
      <c r="AQ74" s="37">
        <v>1</v>
      </c>
      <c r="AR74" s="37">
        <v>1</v>
      </c>
      <c r="AS74" s="37">
        <v>1</v>
      </c>
      <c r="AT74" s="37">
        <v>1</v>
      </c>
      <c r="AX74" s="78"/>
    </row>
    <row r="75" spans="7:59" ht="15.75" thickBot="1" x14ac:dyDescent="0.3">
      <c r="G75" s="112"/>
      <c r="I75" s="53" t="s">
        <v>14</v>
      </c>
      <c r="J75" s="47">
        <v>1</v>
      </c>
      <c r="L75" s="115"/>
      <c r="M75" s="75"/>
      <c r="N75" s="69"/>
      <c r="O75" s="61" t="s">
        <v>47</v>
      </c>
      <c r="P75" s="22">
        <v>0</v>
      </c>
      <c r="Q75" s="9">
        <v>0</v>
      </c>
      <c r="R75" s="9">
        <v>0</v>
      </c>
      <c r="S75" s="9">
        <v>0</v>
      </c>
      <c r="T75" s="9">
        <v>0</v>
      </c>
      <c r="U75" s="9">
        <v>0</v>
      </c>
      <c r="V75" s="9">
        <v>0</v>
      </c>
      <c r="W75" s="9">
        <v>0</v>
      </c>
      <c r="X75" s="9">
        <v>0</v>
      </c>
      <c r="Y75" s="9">
        <v>0</v>
      </c>
      <c r="Z75" s="9">
        <v>0</v>
      </c>
      <c r="AA75" s="38">
        <v>1</v>
      </c>
      <c r="AB75" s="37">
        <v>1</v>
      </c>
      <c r="AC75" s="37">
        <v>1</v>
      </c>
      <c r="AD75" s="37">
        <v>1</v>
      </c>
      <c r="AE75" s="37">
        <v>1</v>
      </c>
      <c r="AF75" s="37">
        <v>1</v>
      </c>
      <c r="AG75" s="37">
        <v>1</v>
      </c>
      <c r="AH75" s="37">
        <v>1</v>
      </c>
      <c r="AI75" s="37">
        <v>1</v>
      </c>
      <c r="AJ75" s="37">
        <v>1</v>
      </c>
      <c r="AK75" s="37">
        <v>1</v>
      </c>
      <c r="AL75" s="37">
        <v>1</v>
      </c>
      <c r="AM75" s="37">
        <v>1</v>
      </c>
      <c r="AN75" s="37">
        <v>1</v>
      </c>
      <c r="AO75" s="37">
        <v>1</v>
      </c>
      <c r="AP75" s="37">
        <v>1</v>
      </c>
      <c r="AQ75" s="37">
        <v>1</v>
      </c>
      <c r="AR75" s="37">
        <v>1</v>
      </c>
      <c r="AS75" s="37">
        <v>1</v>
      </c>
      <c r="AT75" s="37">
        <v>1</v>
      </c>
      <c r="AX75" s="78"/>
    </row>
    <row r="76" spans="7:59" x14ac:dyDescent="0.25">
      <c r="G76" s="112"/>
      <c r="L76" s="115"/>
      <c r="M76" s="75"/>
      <c r="N76" s="69"/>
      <c r="O76" s="56" t="s">
        <v>24</v>
      </c>
      <c r="P76" s="58">
        <f t="shared" ref="P76:Q76" si="32">$D$31*$D$32/$D$33*P73*P$13</f>
        <v>0</v>
      </c>
      <c r="Q76" s="63">
        <f t="shared" si="32"/>
        <v>0</v>
      </c>
      <c r="R76" s="58">
        <f>$D$31*$D$32/$D$33*R73*R$13</f>
        <v>0</v>
      </c>
      <c r="S76" s="58">
        <f>$D$31*$D$32/$D$33*S73*S$13</f>
        <v>0</v>
      </c>
      <c r="T76" s="58">
        <f t="shared" ref="S76:AT76" si="33">$D$31*$D$32/$D$33*T73*T$13</f>
        <v>0</v>
      </c>
      <c r="U76" s="58">
        <f t="shared" si="33"/>
        <v>0</v>
      </c>
      <c r="V76" s="58">
        <f t="shared" si="33"/>
        <v>0</v>
      </c>
      <c r="W76" s="58">
        <f t="shared" si="33"/>
        <v>0</v>
      </c>
      <c r="X76" s="58">
        <f t="shared" si="33"/>
        <v>0</v>
      </c>
      <c r="Y76" s="58">
        <f t="shared" si="33"/>
        <v>0</v>
      </c>
      <c r="Z76" s="58">
        <f t="shared" si="33"/>
        <v>617.1969748832654</v>
      </c>
      <c r="AA76" s="58">
        <f t="shared" si="33"/>
        <v>0</v>
      </c>
      <c r="AB76" s="58">
        <f t="shared" si="33"/>
        <v>0</v>
      </c>
      <c r="AC76" s="58">
        <f t="shared" si="33"/>
        <v>0</v>
      </c>
      <c r="AD76" s="58">
        <f t="shared" si="33"/>
        <v>0</v>
      </c>
      <c r="AE76" s="58">
        <f t="shared" si="33"/>
        <v>0</v>
      </c>
      <c r="AF76" s="58">
        <f t="shared" si="33"/>
        <v>0</v>
      </c>
      <c r="AG76" s="58">
        <f t="shared" si="33"/>
        <v>0</v>
      </c>
      <c r="AH76" s="58">
        <f t="shared" si="33"/>
        <v>0</v>
      </c>
      <c r="AI76" s="58">
        <f t="shared" si="33"/>
        <v>0</v>
      </c>
      <c r="AJ76" s="58">
        <f t="shared" si="33"/>
        <v>0</v>
      </c>
      <c r="AK76" s="58">
        <f t="shared" si="33"/>
        <v>0</v>
      </c>
      <c r="AL76" s="58">
        <f t="shared" si="33"/>
        <v>0</v>
      </c>
      <c r="AM76" s="58">
        <f t="shared" si="33"/>
        <v>0</v>
      </c>
      <c r="AN76" s="58">
        <f t="shared" si="33"/>
        <v>0</v>
      </c>
      <c r="AO76" s="58">
        <f t="shared" si="33"/>
        <v>0</v>
      </c>
      <c r="AP76" s="58">
        <f t="shared" si="33"/>
        <v>0</v>
      </c>
      <c r="AQ76" s="58">
        <f t="shared" si="33"/>
        <v>0</v>
      </c>
      <c r="AR76" s="58">
        <f t="shared" si="33"/>
        <v>0</v>
      </c>
      <c r="AS76" s="58">
        <f t="shared" si="33"/>
        <v>0</v>
      </c>
      <c r="AT76" s="59">
        <f t="shared" si="33"/>
        <v>0</v>
      </c>
      <c r="AV76" s="54">
        <f>SUM(P76:AT76)</f>
        <v>617.1969748832654</v>
      </c>
      <c r="AW76" s="88">
        <f>SUM(AV76:AV78)</f>
        <v>-39.272497373461078</v>
      </c>
      <c r="AX76" s="78"/>
    </row>
    <row r="77" spans="7:59" x14ac:dyDescent="0.25">
      <c r="G77" s="112"/>
      <c r="L77" s="115"/>
      <c r="M77" s="75"/>
      <c r="N77" s="69"/>
      <c r="O77" s="35" t="s">
        <v>45</v>
      </c>
      <c r="P77" s="7">
        <f t="shared" ref="P77:Q77" si="34">$D$37*$D$38*P74*P$12*P$13</f>
        <v>0</v>
      </c>
      <c r="Q77" s="19">
        <f t="shared" si="34"/>
        <v>0</v>
      </c>
      <c r="R77" s="119">
        <f>$D$37*$D$38*R74*R$12*R$13</f>
        <v>0</v>
      </c>
      <c r="S77" s="119">
        <f t="shared" ref="S77:AT77" si="35">$D$37*$D$38*S74*S$12*S$13</f>
        <v>0</v>
      </c>
      <c r="T77" s="119">
        <f t="shared" si="35"/>
        <v>0</v>
      </c>
      <c r="U77" s="119">
        <f t="shared" si="35"/>
        <v>0</v>
      </c>
      <c r="V77" s="119">
        <f t="shared" si="35"/>
        <v>0</v>
      </c>
      <c r="W77" s="119">
        <f t="shared" si="35"/>
        <v>0</v>
      </c>
      <c r="X77" s="119">
        <f t="shared" si="35"/>
        <v>0</v>
      </c>
      <c r="Y77" s="119">
        <f t="shared" si="35"/>
        <v>0</v>
      </c>
      <c r="Z77" s="119">
        <f t="shared" si="35"/>
        <v>0</v>
      </c>
      <c r="AA77" s="119">
        <f t="shared" si="35"/>
        <v>8.7623474870348055</v>
      </c>
      <c r="AB77" s="119">
        <f t="shared" si="35"/>
        <v>7.965770442758914</v>
      </c>
      <c r="AC77" s="119">
        <f t="shared" si="35"/>
        <v>7.2416094934171946</v>
      </c>
      <c r="AD77" s="119">
        <f t="shared" si="35"/>
        <v>6.5832813576519928</v>
      </c>
      <c r="AE77" s="119">
        <f t="shared" si="35"/>
        <v>5.9848012342290851</v>
      </c>
      <c r="AF77" s="119">
        <f t="shared" si="35"/>
        <v>5.4407283947537133</v>
      </c>
      <c r="AG77" s="119">
        <f t="shared" si="35"/>
        <v>4.9461167225033753</v>
      </c>
      <c r="AH77" s="119">
        <f t="shared" si="35"/>
        <v>4.496469747730341</v>
      </c>
      <c r="AI77" s="119">
        <f t="shared" si="35"/>
        <v>4.0876997706639457</v>
      </c>
      <c r="AJ77" s="119">
        <f t="shared" si="35"/>
        <v>3.7160907006035875</v>
      </c>
      <c r="AK77" s="119">
        <f t="shared" si="35"/>
        <v>3.3782642732759882</v>
      </c>
      <c r="AL77" s="119">
        <f t="shared" si="35"/>
        <v>3.0711493393418068</v>
      </c>
      <c r="AM77" s="119">
        <f t="shared" si="35"/>
        <v>2.7919539448561879</v>
      </c>
      <c r="AN77" s="119">
        <f t="shared" si="35"/>
        <v>2.5381399498692621</v>
      </c>
      <c r="AO77" s="119">
        <f t="shared" si="35"/>
        <v>2.3073999544266011</v>
      </c>
      <c r="AP77" s="119">
        <f t="shared" si="35"/>
        <v>2.097636322206001</v>
      </c>
      <c r="AQ77" s="119">
        <f t="shared" si="35"/>
        <v>1.9069421110963645</v>
      </c>
      <c r="AR77" s="119">
        <f t="shared" si="35"/>
        <v>1.7335837373603311</v>
      </c>
      <c r="AS77" s="119">
        <f t="shared" si="35"/>
        <v>1.575985215782119</v>
      </c>
      <c r="AT77" s="16">
        <f t="shared" si="35"/>
        <v>1.432713832529199</v>
      </c>
      <c r="AV77" s="62">
        <f>SUM(P77:AT77)</f>
        <v>82.058684032090824</v>
      </c>
      <c r="AW77" s="89"/>
      <c r="AX77" s="78"/>
    </row>
    <row r="78" spans="7:59" ht="15.75" thickBot="1" x14ac:dyDescent="0.3">
      <c r="G78" s="113"/>
      <c r="L78" s="116"/>
      <c r="M78" s="76"/>
      <c r="N78" s="70"/>
      <c r="O78" s="36" t="s">
        <v>46</v>
      </c>
      <c r="P78" s="17">
        <f t="shared" ref="P78:Q78" si="36">$D$41*$D$42*P75*P$12*P$13</f>
        <v>0</v>
      </c>
      <c r="Q78" s="20">
        <f t="shared" si="36"/>
        <v>0</v>
      </c>
      <c r="R78" s="17">
        <f>$D$41*$D$42*R75*R$12*R$13</f>
        <v>0</v>
      </c>
      <c r="S78" s="17">
        <f t="shared" ref="S78:AT78" si="37">$D$41*$D$42*S75*S$12*S$13</f>
        <v>0</v>
      </c>
      <c r="T78" s="17">
        <f t="shared" si="37"/>
        <v>0</v>
      </c>
      <c r="U78" s="17">
        <f t="shared" si="37"/>
        <v>0</v>
      </c>
      <c r="V78" s="17">
        <f t="shared" si="37"/>
        <v>0</v>
      </c>
      <c r="W78" s="17">
        <f t="shared" si="37"/>
        <v>0</v>
      </c>
      <c r="X78" s="17">
        <f t="shared" si="37"/>
        <v>0</v>
      </c>
      <c r="Y78" s="17">
        <f t="shared" si="37"/>
        <v>0</v>
      </c>
      <c r="Z78" s="17">
        <f t="shared" si="37"/>
        <v>0</v>
      </c>
      <c r="AA78" s="17">
        <f t="shared" si="37"/>
        <v>-78.861127383313246</v>
      </c>
      <c r="AB78" s="17">
        <f t="shared" si="37"/>
        <v>-71.691933984830229</v>
      </c>
      <c r="AC78" s="17">
        <f t="shared" si="37"/>
        <v>-65.174485440754751</v>
      </c>
      <c r="AD78" s="17">
        <f t="shared" si="37"/>
        <v>-59.249532218867941</v>
      </c>
      <c r="AE78" s="17">
        <f t="shared" si="37"/>
        <v>-53.863211108061762</v>
      </c>
      <c r="AF78" s="17">
        <f t="shared" si="37"/>
        <v>-48.966555552783419</v>
      </c>
      <c r="AG78" s="17">
        <f t="shared" si="37"/>
        <v>-44.515050502530379</v>
      </c>
      <c r="AH78" s="17">
        <f t="shared" si="37"/>
        <v>-40.468227729573066</v>
      </c>
      <c r="AI78" s="17">
        <f t="shared" si="37"/>
        <v>-36.789297935975512</v>
      </c>
      <c r="AJ78" s="17">
        <f t="shared" si="37"/>
        <v>-33.444816305432283</v>
      </c>
      <c r="AK78" s="17">
        <f t="shared" si="37"/>
        <v>-30.404378459483894</v>
      </c>
      <c r="AL78" s="17">
        <f t="shared" si="37"/>
        <v>-27.640344054076262</v>
      </c>
      <c r="AM78" s="17">
        <f t="shared" si="37"/>
        <v>-25.127585503705692</v>
      </c>
      <c r="AN78" s="17">
        <f t="shared" si="37"/>
        <v>-22.843259548823358</v>
      </c>
      <c r="AO78" s="17">
        <f t="shared" si="37"/>
        <v>-20.766599589839412</v>
      </c>
      <c r="AP78" s="17">
        <f t="shared" si="37"/>
        <v>-18.878726899854009</v>
      </c>
      <c r="AQ78" s="17">
        <f t="shared" si="37"/>
        <v>-17.162478999867279</v>
      </c>
      <c r="AR78" s="17">
        <f t="shared" si="37"/>
        <v>-15.602253636242979</v>
      </c>
      <c r="AS78" s="17">
        <f t="shared" si="37"/>
        <v>-14.183866942039073</v>
      </c>
      <c r="AT78" s="18">
        <f t="shared" si="37"/>
        <v>-12.894424492762791</v>
      </c>
      <c r="AV78" s="55">
        <f>SUM(P78:AT78)</f>
        <v>-738.52815628881729</v>
      </c>
      <c r="AW78" s="90"/>
      <c r="AX78" s="79"/>
    </row>
    <row r="92" spans="4:4" x14ac:dyDescent="0.25">
      <c r="D92" s="10"/>
    </row>
    <row r="93" spans="4:4" x14ac:dyDescent="0.25">
      <c r="D93" s="10"/>
    </row>
    <row r="94" spans="4:4" x14ac:dyDescent="0.25">
      <c r="D94" s="10"/>
    </row>
    <row r="95" spans="4:4" x14ac:dyDescent="0.25">
      <c r="D95" s="10"/>
    </row>
    <row r="96" spans="4:4" x14ac:dyDescent="0.25">
      <c r="D96" s="10"/>
    </row>
    <row r="97" spans="4:5" x14ac:dyDescent="0.25">
      <c r="D97" s="10"/>
    </row>
    <row r="98" spans="4:5" x14ac:dyDescent="0.25">
      <c r="D98" s="10"/>
    </row>
    <row r="99" spans="4:5" x14ac:dyDescent="0.25">
      <c r="D99" s="10"/>
    </row>
    <row r="100" spans="4:5" x14ac:dyDescent="0.25">
      <c r="D100" s="10"/>
      <c r="E100" s="10"/>
    </row>
    <row r="101" spans="4:5" x14ac:dyDescent="0.25">
      <c r="D101" s="10"/>
      <c r="E101" s="10"/>
    </row>
    <row r="102" spans="4:5" x14ac:dyDescent="0.25">
      <c r="D102" s="10"/>
      <c r="E102" s="10"/>
    </row>
    <row r="104" spans="4:5" ht="15" customHeight="1" x14ac:dyDescent="0.25"/>
  </sheetData>
  <mergeCells count="39">
    <mergeCell ref="BB64:BG66"/>
    <mergeCell ref="AY64:AY66"/>
    <mergeCell ref="AZ64:AZ66"/>
    <mergeCell ref="L67:L78"/>
    <mergeCell ref="M67:M78"/>
    <mergeCell ref="N67:N72"/>
    <mergeCell ref="AW70:AW72"/>
    <mergeCell ref="AX70:AX78"/>
    <mergeCell ref="N73:N78"/>
    <mergeCell ref="AW76:AW78"/>
    <mergeCell ref="N50:N55"/>
    <mergeCell ref="AW53:AW55"/>
    <mergeCell ref="AX53:AX61"/>
    <mergeCell ref="N56:N61"/>
    <mergeCell ref="AW59:AW61"/>
    <mergeCell ref="G15:G43"/>
    <mergeCell ref="G50:G78"/>
    <mergeCell ref="L50:L61"/>
    <mergeCell ref="M50:M61"/>
    <mergeCell ref="BB29:BG31"/>
    <mergeCell ref="AZ29:AZ31"/>
    <mergeCell ref="N15:N20"/>
    <mergeCell ref="N21:N26"/>
    <mergeCell ref="L15:L26"/>
    <mergeCell ref="M15:M26"/>
    <mergeCell ref="AW24:AW26"/>
    <mergeCell ref="L32:L43"/>
    <mergeCell ref="M32:M43"/>
    <mergeCell ref="N32:N37"/>
    <mergeCell ref="AW35:AW37"/>
    <mergeCell ref="AX35:AX43"/>
    <mergeCell ref="N38:N43"/>
    <mergeCell ref="AW41:AW43"/>
    <mergeCell ref="AV10:AV13"/>
    <mergeCell ref="AW10:AW13"/>
    <mergeCell ref="AX10:AX13"/>
    <mergeCell ref="AY29:AY31"/>
    <mergeCell ref="AX18:AX26"/>
    <mergeCell ref="AW18:AW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Analyzing Repetitions 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Jose Soto Gonzalez</dc:creator>
  <cp:lastModifiedBy>Gabriel Jose Soto Gonzalez</cp:lastModifiedBy>
  <dcterms:created xsi:type="dcterms:W3CDTF">2025-03-27T15:55:11Z</dcterms:created>
  <dcterms:modified xsi:type="dcterms:W3CDTF">2025-04-07T18:02:08Z</dcterms:modified>
</cp:coreProperties>
</file>