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gj\projects\TEAL\tests\analytics\"/>
    </mc:Choice>
  </mc:AlternateContent>
  <xr:revisionPtr revIDLastSave="0" documentId="13_ncr:1_{13949F73-BDA2-4C14-87C3-69F1F36C4974}" xr6:coauthVersionLast="47" xr6:coauthVersionMax="47" xr10:uidLastSave="{00000000-0000-0000-0000-000000000000}"/>
  <bookViews>
    <workbookView xWindow="-120" yWindow="-120" windowWidth="38640" windowHeight="21240" xr2:uid="{2115BB6B-5C9A-4BA5-86D7-BF933E16E53E}"/>
  </bookViews>
  <sheets>
    <sheet name="Analyzing Negative Start Ti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28" i="1"/>
  <c r="F20" i="1"/>
  <c r="F13" i="1"/>
  <c r="E25" i="1" l="1"/>
  <c r="S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T13" i="1"/>
  <c r="U13" i="1"/>
  <c r="R13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S12" i="1"/>
  <c r="R12" i="1"/>
  <c r="E34" i="1"/>
  <c r="E28" i="1"/>
  <c r="E20" i="1"/>
  <c r="E13" i="1"/>
  <c r="D34" i="1"/>
  <c r="C34" i="1"/>
  <c r="D28" i="1"/>
  <c r="R21" i="1" s="1"/>
  <c r="C28" i="1"/>
  <c r="D20" i="1"/>
  <c r="C20" i="1"/>
  <c r="D13" i="1"/>
  <c r="Z41" i="1" s="1"/>
  <c r="C13" i="1"/>
  <c r="W46" i="1" l="1"/>
  <c r="AE46" i="1"/>
  <c r="AM46" i="1"/>
  <c r="AU46" i="1"/>
  <c r="BC46" i="1"/>
  <c r="BK46" i="1"/>
  <c r="BS46" i="1"/>
  <c r="CA46" i="1"/>
  <c r="CI46" i="1"/>
  <c r="CQ46" i="1"/>
  <c r="BY46" i="1"/>
  <c r="V46" i="1"/>
  <c r="BB46" i="1"/>
  <c r="CH46" i="1"/>
  <c r="X46" i="1"/>
  <c r="AF46" i="1"/>
  <c r="AN46" i="1"/>
  <c r="AV46" i="1"/>
  <c r="BD46" i="1"/>
  <c r="BL46" i="1"/>
  <c r="BT46" i="1"/>
  <c r="CB46" i="1"/>
  <c r="CJ46" i="1"/>
  <c r="CR46" i="1"/>
  <c r="AR46" i="1"/>
  <c r="BX46" i="1"/>
  <c r="AK46" i="1"/>
  <c r="BI46" i="1"/>
  <c r="CO46" i="1"/>
  <c r="AD46" i="1"/>
  <c r="BJ46" i="1"/>
  <c r="CP46" i="1"/>
  <c r="Y46" i="1"/>
  <c r="AG46" i="1"/>
  <c r="AO46" i="1"/>
  <c r="AW46" i="1"/>
  <c r="BE46" i="1"/>
  <c r="BM46" i="1"/>
  <c r="BU46" i="1"/>
  <c r="CC46" i="1"/>
  <c r="CK46" i="1"/>
  <c r="CS46" i="1"/>
  <c r="AJ46" i="1"/>
  <c r="BH46" i="1"/>
  <c r="CF46" i="1"/>
  <c r="U46" i="1"/>
  <c r="AS46" i="1"/>
  <c r="BQ46" i="1"/>
  <c r="R46" i="1"/>
  <c r="AL46" i="1"/>
  <c r="BR46" i="1"/>
  <c r="S46" i="1"/>
  <c r="Z46" i="1"/>
  <c r="AH46" i="1"/>
  <c r="AP46" i="1"/>
  <c r="AX46" i="1"/>
  <c r="BF46" i="1"/>
  <c r="BN46" i="1"/>
  <c r="BV46" i="1"/>
  <c r="CD46" i="1"/>
  <c r="CL46" i="1"/>
  <c r="CT46" i="1"/>
  <c r="AA46" i="1"/>
  <c r="AI46" i="1"/>
  <c r="AQ46" i="1"/>
  <c r="AY46" i="1"/>
  <c r="BG46" i="1"/>
  <c r="BO46" i="1"/>
  <c r="BW46" i="1"/>
  <c r="CE46" i="1"/>
  <c r="CM46" i="1"/>
  <c r="AB46" i="1"/>
  <c r="AZ46" i="1"/>
  <c r="BP46" i="1"/>
  <c r="CN46" i="1"/>
  <c r="AC46" i="1"/>
  <c r="BA46" i="1"/>
  <c r="CG46" i="1"/>
  <c r="AT46" i="1"/>
  <c r="BZ46" i="1"/>
  <c r="U45" i="1"/>
  <c r="AC45" i="1"/>
  <c r="AK45" i="1"/>
  <c r="AS45" i="1"/>
  <c r="BA45" i="1"/>
  <c r="BI45" i="1"/>
  <c r="BQ45" i="1"/>
  <c r="BY45" i="1"/>
  <c r="CG45" i="1"/>
  <c r="CO45" i="1"/>
  <c r="T45" i="1"/>
  <c r="CE45" i="1"/>
  <c r="AZ45" i="1"/>
  <c r="BP45" i="1"/>
  <c r="V45" i="1"/>
  <c r="AD45" i="1"/>
  <c r="AL45" i="1"/>
  <c r="AT45" i="1"/>
  <c r="BB45" i="1"/>
  <c r="BJ45" i="1"/>
  <c r="BR45" i="1"/>
  <c r="BZ45" i="1"/>
  <c r="CH45" i="1"/>
  <c r="CP45" i="1"/>
  <c r="BF45" i="1"/>
  <c r="S45" i="1"/>
  <c r="AQ45" i="1"/>
  <c r="BG45" i="1"/>
  <c r="CM45" i="1"/>
  <c r="AJ45" i="1"/>
  <c r="CF45" i="1"/>
  <c r="W45" i="1"/>
  <c r="AE45" i="1"/>
  <c r="AM45" i="1"/>
  <c r="AU45" i="1"/>
  <c r="BC45" i="1"/>
  <c r="BK45" i="1"/>
  <c r="BS45" i="1"/>
  <c r="CA45" i="1"/>
  <c r="CI45" i="1"/>
  <c r="CQ45" i="1"/>
  <c r="AH45" i="1"/>
  <c r="AP45" i="1"/>
  <c r="AX45" i="1"/>
  <c r="BN45" i="1"/>
  <c r="CD45" i="1"/>
  <c r="CT45" i="1"/>
  <c r="AA45" i="1"/>
  <c r="BO45" i="1"/>
  <c r="AB45" i="1"/>
  <c r="BX45" i="1"/>
  <c r="X45" i="1"/>
  <c r="AF45" i="1"/>
  <c r="AN45" i="1"/>
  <c r="AV45" i="1"/>
  <c r="BD45" i="1"/>
  <c r="BL45" i="1"/>
  <c r="BT45" i="1"/>
  <c r="CB45" i="1"/>
  <c r="CJ45" i="1"/>
  <c r="CR45" i="1"/>
  <c r="Y45" i="1"/>
  <c r="AG45" i="1"/>
  <c r="AO45" i="1"/>
  <c r="AW45" i="1"/>
  <c r="BE45" i="1"/>
  <c r="BM45" i="1"/>
  <c r="BU45" i="1"/>
  <c r="CC45" i="1"/>
  <c r="CK45" i="1"/>
  <c r="CS45" i="1"/>
  <c r="R45" i="1"/>
  <c r="CV45" i="1" s="1"/>
  <c r="Z45" i="1"/>
  <c r="BV45" i="1"/>
  <c r="CL45" i="1"/>
  <c r="AI45" i="1"/>
  <c r="AY45" i="1"/>
  <c r="BW45" i="1"/>
  <c r="AR45" i="1"/>
  <c r="BH45" i="1"/>
  <c r="CN45" i="1"/>
  <c r="Z42" i="1"/>
  <c r="R33" i="1"/>
  <c r="T33" i="1"/>
  <c r="W42" i="1"/>
  <c r="AE42" i="1"/>
  <c r="AM42" i="1"/>
  <c r="AU42" i="1"/>
  <c r="BC42" i="1"/>
  <c r="BK42" i="1"/>
  <c r="BS42" i="1"/>
  <c r="CA42" i="1"/>
  <c r="CI42" i="1"/>
  <c r="CQ42" i="1"/>
  <c r="AR42" i="1"/>
  <c r="BX42" i="1"/>
  <c r="X42" i="1"/>
  <c r="AF42" i="1"/>
  <c r="AN42" i="1"/>
  <c r="AV42" i="1"/>
  <c r="BD42" i="1"/>
  <c r="BL42" i="1"/>
  <c r="BT42" i="1"/>
  <c r="CB42" i="1"/>
  <c r="CJ42" i="1"/>
  <c r="CR42" i="1"/>
  <c r="T42" i="1"/>
  <c r="BH42" i="1"/>
  <c r="CP42" i="1"/>
  <c r="Y42" i="1"/>
  <c r="AG42" i="1"/>
  <c r="AO42" i="1"/>
  <c r="AW42" i="1"/>
  <c r="BE42" i="1"/>
  <c r="BM42" i="1"/>
  <c r="BU42" i="1"/>
  <c r="CC42" i="1"/>
  <c r="CK42" i="1"/>
  <c r="CS42" i="1"/>
  <c r="R18" i="1"/>
  <c r="R30" i="1" s="1"/>
  <c r="CV42" i="1" s="1"/>
  <c r="AJ42" i="1"/>
  <c r="CN42" i="1"/>
  <c r="CH42" i="1"/>
  <c r="AH42" i="1"/>
  <c r="AP42" i="1"/>
  <c r="AX42" i="1"/>
  <c r="BF42" i="1"/>
  <c r="BN42" i="1"/>
  <c r="BV42" i="1"/>
  <c r="CD42" i="1"/>
  <c r="CL42" i="1"/>
  <c r="CT42" i="1"/>
  <c r="AB42" i="1"/>
  <c r="BP42" i="1"/>
  <c r="S42" i="1"/>
  <c r="AA42" i="1"/>
  <c r="AI42" i="1"/>
  <c r="AQ42" i="1"/>
  <c r="AY42" i="1"/>
  <c r="BG42" i="1"/>
  <c r="BO42" i="1"/>
  <c r="BW42" i="1"/>
  <c r="CE42" i="1"/>
  <c r="CM42" i="1"/>
  <c r="AZ42" i="1"/>
  <c r="CF42" i="1"/>
  <c r="BZ42" i="1"/>
  <c r="U42" i="1"/>
  <c r="AC42" i="1"/>
  <c r="AK42" i="1"/>
  <c r="AS42" i="1"/>
  <c r="BA42" i="1"/>
  <c r="BI42" i="1"/>
  <c r="BQ42" i="1"/>
  <c r="BY42" i="1"/>
  <c r="CG42" i="1"/>
  <c r="CO42" i="1"/>
  <c r="R42" i="1"/>
  <c r="V42" i="1"/>
  <c r="AD42" i="1"/>
  <c r="AL42" i="1"/>
  <c r="AT42" i="1"/>
  <c r="BB42" i="1"/>
  <c r="BJ42" i="1"/>
  <c r="BR42" i="1"/>
  <c r="R34" i="1"/>
  <c r="T46" i="1"/>
  <c r="R22" i="1"/>
  <c r="U41" i="1"/>
  <c r="AC41" i="1"/>
  <c r="AK41" i="1"/>
  <c r="AS41" i="1"/>
  <c r="BA41" i="1"/>
  <c r="BI41" i="1"/>
  <c r="BQ41" i="1"/>
  <c r="BY41" i="1"/>
  <c r="CG41" i="1"/>
  <c r="CO41" i="1"/>
  <c r="T41" i="1"/>
  <c r="AX41" i="1"/>
  <c r="CD41" i="1"/>
  <c r="V41" i="1"/>
  <c r="AD41" i="1"/>
  <c r="AL41" i="1"/>
  <c r="AT41" i="1"/>
  <c r="BB41" i="1"/>
  <c r="BJ41" i="1"/>
  <c r="BR41" i="1"/>
  <c r="BZ41" i="1"/>
  <c r="CH41" i="1"/>
  <c r="CP41" i="1"/>
  <c r="BF41" i="1"/>
  <c r="CL41" i="1"/>
  <c r="W41" i="1"/>
  <c r="AE41" i="1"/>
  <c r="AM41" i="1"/>
  <c r="AU41" i="1"/>
  <c r="BC41" i="1"/>
  <c r="BK41" i="1"/>
  <c r="BS41" i="1"/>
  <c r="CA41" i="1"/>
  <c r="CI41" i="1"/>
  <c r="CQ41" i="1"/>
  <c r="AP41" i="1"/>
  <c r="BV41" i="1"/>
  <c r="X41" i="1"/>
  <c r="AF41" i="1"/>
  <c r="AN41" i="1"/>
  <c r="AV41" i="1"/>
  <c r="BD41" i="1"/>
  <c r="BL41" i="1"/>
  <c r="BT41" i="1"/>
  <c r="CB41" i="1"/>
  <c r="CJ41" i="1"/>
  <c r="CR41" i="1"/>
  <c r="R17" i="1"/>
  <c r="AH41" i="1"/>
  <c r="BN41" i="1"/>
  <c r="S41" i="1"/>
  <c r="Y41" i="1"/>
  <c r="AG41" i="1"/>
  <c r="AO41" i="1"/>
  <c r="AW41" i="1"/>
  <c r="BE41" i="1"/>
  <c r="BM41" i="1"/>
  <c r="BU41" i="1"/>
  <c r="CC41" i="1"/>
  <c r="CK41" i="1"/>
  <c r="CS41" i="1"/>
  <c r="R41" i="1"/>
  <c r="CT41" i="1"/>
  <c r="AA41" i="1"/>
  <c r="AI41" i="1"/>
  <c r="AQ41" i="1"/>
  <c r="AY41" i="1"/>
  <c r="BG41" i="1"/>
  <c r="BO41" i="1"/>
  <c r="BW41" i="1"/>
  <c r="CE41" i="1"/>
  <c r="CM41" i="1"/>
  <c r="AB41" i="1"/>
  <c r="AJ41" i="1"/>
  <c r="AR41" i="1"/>
  <c r="AZ41" i="1"/>
  <c r="BH41" i="1"/>
  <c r="BP41" i="1"/>
  <c r="BX41" i="1"/>
  <c r="CF41" i="1"/>
  <c r="CN41" i="1"/>
  <c r="W33" i="1"/>
  <c r="AE33" i="1"/>
  <c r="AM33" i="1"/>
  <c r="AU33" i="1"/>
  <c r="BC33" i="1"/>
  <c r="BK33" i="1"/>
  <c r="BS33" i="1"/>
  <c r="CA33" i="1"/>
  <c r="CI33" i="1"/>
  <c r="CQ33" i="1"/>
  <c r="AF33" i="1"/>
  <c r="BL33" i="1"/>
  <c r="CJ33" i="1"/>
  <c r="BG33" i="1"/>
  <c r="CM33" i="1"/>
  <c r="AR33" i="1"/>
  <c r="BP33" i="1"/>
  <c r="AK33" i="1"/>
  <c r="BQ33" i="1"/>
  <c r="AD33" i="1"/>
  <c r="BB33" i="1"/>
  <c r="X33" i="1"/>
  <c r="AN33" i="1"/>
  <c r="AV33" i="1"/>
  <c r="BD33" i="1"/>
  <c r="BT33" i="1"/>
  <c r="CB33" i="1"/>
  <c r="CR33" i="1"/>
  <c r="AA33" i="1"/>
  <c r="AJ33" i="1"/>
  <c r="BX33" i="1"/>
  <c r="AS33" i="1"/>
  <c r="CG33" i="1"/>
  <c r="AL33" i="1"/>
  <c r="AT33" i="1"/>
  <c r="Y33" i="1"/>
  <c r="AG33" i="1"/>
  <c r="AO33" i="1"/>
  <c r="AW33" i="1"/>
  <c r="BE33" i="1"/>
  <c r="BM33" i="1"/>
  <c r="BU33" i="1"/>
  <c r="CC33" i="1"/>
  <c r="CK33" i="1"/>
  <c r="CS33" i="1"/>
  <c r="AI33" i="1"/>
  <c r="AQ33" i="1"/>
  <c r="BO33" i="1"/>
  <c r="CE33" i="1"/>
  <c r="AB33" i="1"/>
  <c r="BH33" i="1"/>
  <c r="CN33" i="1"/>
  <c r="AC33" i="1"/>
  <c r="BI33" i="1"/>
  <c r="CO33" i="1"/>
  <c r="Z33" i="1"/>
  <c r="AH33" i="1"/>
  <c r="AP33" i="1"/>
  <c r="AX33" i="1"/>
  <c r="BF33" i="1"/>
  <c r="BN33" i="1"/>
  <c r="BV33" i="1"/>
  <c r="CD33" i="1"/>
  <c r="CL33" i="1"/>
  <c r="CT33" i="1"/>
  <c r="S33" i="1"/>
  <c r="AY33" i="1"/>
  <c r="BW33" i="1"/>
  <c r="AZ33" i="1"/>
  <c r="CF33" i="1"/>
  <c r="U33" i="1"/>
  <c r="BA33" i="1"/>
  <c r="BY33" i="1"/>
  <c r="V33" i="1"/>
  <c r="BJ33" i="1"/>
  <c r="CP33" i="1"/>
  <c r="BR33" i="1"/>
  <c r="BZ33" i="1"/>
  <c r="CH33" i="1"/>
  <c r="X34" i="1"/>
  <c r="AF34" i="1"/>
  <c r="AN34" i="1"/>
  <c r="AV34" i="1"/>
  <c r="BD34" i="1"/>
  <c r="BL34" i="1"/>
  <c r="BT34" i="1"/>
  <c r="CB34" i="1"/>
  <c r="CJ34" i="1"/>
  <c r="CR34" i="1"/>
  <c r="Y34" i="1"/>
  <c r="AO34" i="1"/>
  <c r="AW34" i="1"/>
  <c r="BM34" i="1"/>
  <c r="CC34" i="1"/>
  <c r="CS34" i="1"/>
  <c r="AR34" i="1"/>
  <c r="BP34" i="1"/>
  <c r="CF34" i="1"/>
  <c r="U34" i="1"/>
  <c r="BA34" i="1"/>
  <c r="BY34" i="1"/>
  <c r="V34" i="1"/>
  <c r="BB34" i="1"/>
  <c r="CH34" i="1"/>
  <c r="AG34" i="1"/>
  <c r="BE34" i="1"/>
  <c r="BU34" i="1"/>
  <c r="CK34" i="1"/>
  <c r="T34" i="1"/>
  <c r="BH34" i="1"/>
  <c r="S34" i="1"/>
  <c r="AS34" i="1"/>
  <c r="CG34" i="1"/>
  <c r="AL34" i="1"/>
  <c r="BZ34" i="1"/>
  <c r="Z34" i="1"/>
  <c r="AH34" i="1"/>
  <c r="AP34" i="1"/>
  <c r="AX34" i="1"/>
  <c r="BF34" i="1"/>
  <c r="BN34" i="1"/>
  <c r="BV34" i="1"/>
  <c r="CD34" i="1"/>
  <c r="CL34" i="1"/>
  <c r="CT34" i="1"/>
  <c r="AB34" i="1"/>
  <c r="AZ34" i="1"/>
  <c r="CN34" i="1"/>
  <c r="AK34" i="1"/>
  <c r="BQ34" i="1"/>
  <c r="AT34" i="1"/>
  <c r="BR34" i="1"/>
  <c r="AA34" i="1"/>
  <c r="AI34" i="1"/>
  <c r="AQ34" i="1"/>
  <c r="AY34" i="1"/>
  <c r="BG34" i="1"/>
  <c r="BO34" i="1"/>
  <c r="BW34" i="1"/>
  <c r="CE34" i="1"/>
  <c r="CM34" i="1"/>
  <c r="AJ34" i="1"/>
  <c r="BX34" i="1"/>
  <c r="AC34" i="1"/>
  <c r="BI34" i="1"/>
  <c r="CO34" i="1"/>
  <c r="AD34" i="1"/>
  <c r="BJ34" i="1"/>
  <c r="CP34" i="1"/>
  <c r="AU34" i="1"/>
  <c r="CQ34" i="1"/>
  <c r="BC34" i="1"/>
  <c r="CA34" i="1"/>
  <c r="AE34" i="1"/>
  <c r="BK34" i="1"/>
  <c r="BS34" i="1"/>
  <c r="CI34" i="1"/>
  <c r="AM34" i="1"/>
  <c r="W34" i="1"/>
  <c r="AN17" i="1"/>
  <c r="AN29" i="1" s="1"/>
  <c r="AF17" i="1"/>
  <c r="AF29" i="1" s="1"/>
  <c r="AI22" i="1"/>
  <c r="BT17" i="1"/>
  <c r="BT29" i="1" s="1"/>
  <c r="W21" i="1"/>
  <c r="S22" i="1"/>
  <c r="CP18" i="1"/>
  <c r="CP30" i="1" s="1"/>
  <c r="CH18" i="1"/>
  <c r="CH30" i="1" s="1"/>
  <c r="BZ18" i="1"/>
  <c r="BZ30" i="1" s="1"/>
  <c r="CJ22" i="1"/>
  <c r="CO17" i="1"/>
  <c r="CO29" i="1" s="1"/>
  <c r="BI17" i="1"/>
  <c r="BI29" i="1" s="1"/>
  <c r="AK17" i="1"/>
  <c r="AK29" i="1" s="1"/>
  <c r="AC17" i="1"/>
  <c r="AC29" i="1" s="1"/>
  <c r="BD22" i="1"/>
  <c r="CR17" i="1"/>
  <c r="CR29" i="1" s="1"/>
  <c r="X22" i="1"/>
  <c r="AV17" i="1"/>
  <c r="AV29" i="1" s="1"/>
  <c r="BQ17" i="1"/>
  <c r="BQ29" i="1" s="1"/>
  <c r="BL17" i="1"/>
  <c r="BL29" i="1" s="1"/>
  <c r="AY22" i="1"/>
  <c r="CJ17" i="1"/>
  <c r="CJ29" i="1" s="1"/>
  <c r="BD17" i="1"/>
  <c r="BD29" i="1" s="1"/>
  <c r="X17" i="1"/>
  <c r="X29" i="1" s="1"/>
  <c r="BW22" i="1"/>
  <c r="AQ22" i="1"/>
  <c r="CS18" i="1"/>
  <c r="CS30" i="1" s="1"/>
  <c r="CK18" i="1"/>
  <c r="CK30" i="1" s="1"/>
  <c r="CC18" i="1"/>
  <c r="CC30" i="1" s="1"/>
  <c r="BU18" i="1"/>
  <c r="BU30" i="1" s="1"/>
  <c r="BM18" i="1"/>
  <c r="BM30" i="1" s="1"/>
  <c r="BE18" i="1"/>
  <c r="BE30" i="1" s="1"/>
  <c r="AW18" i="1"/>
  <c r="AW30" i="1" s="1"/>
  <c r="AO18" i="1"/>
  <c r="AO30" i="1" s="1"/>
  <c r="AG18" i="1"/>
  <c r="AG30" i="1" s="1"/>
  <c r="Y18" i="1"/>
  <c r="Y30" i="1" s="1"/>
  <c r="CG17" i="1"/>
  <c r="CG29" i="1" s="1"/>
  <c r="BA17" i="1"/>
  <c r="BA29" i="1" s="1"/>
  <c r="U17" i="1"/>
  <c r="U29" i="1" s="1"/>
  <c r="BT22" i="1"/>
  <c r="AN22" i="1"/>
  <c r="AV22" i="1"/>
  <c r="U18" i="1"/>
  <c r="U30" i="1" s="1"/>
  <c r="CB17" i="1"/>
  <c r="CB29" i="1" s="1"/>
  <c r="BO22" i="1"/>
  <c r="W22" i="1"/>
  <c r="CE22" i="1"/>
  <c r="CB22" i="1"/>
  <c r="T17" i="1"/>
  <c r="T29" i="1" s="1"/>
  <c r="BY17" i="1"/>
  <c r="BY29" i="1" s="1"/>
  <c r="AS17" i="1"/>
  <c r="AS29" i="1" s="1"/>
  <c r="CR22" i="1"/>
  <c r="BL22" i="1"/>
  <c r="AF22" i="1"/>
  <c r="BR18" i="1"/>
  <c r="BR30" i="1" s="1"/>
  <c r="BJ18" i="1"/>
  <c r="BJ30" i="1" s="1"/>
  <c r="BB18" i="1"/>
  <c r="BB30" i="1" s="1"/>
  <c r="AT18" i="1"/>
  <c r="AT30" i="1" s="1"/>
  <c r="AL18" i="1"/>
  <c r="AL30" i="1" s="1"/>
  <c r="AD18" i="1"/>
  <c r="AD30" i="1" s="1"/>
  <c r="V18" i="1"/>
  <c r="V30" i="1" s="1"/>
  <c r="CM22" i="1"/>
  <c r="BG22" i="1"/>
  <c r="AA22" i="1"/>
  <c r="CB21" i="1"/>
  <c r="BD21" i="1"/>
  <c r="X21" i="1"/>
  <c r="CM17" i="1"/>
  <c r="CM29" i="1" s="1"/>
  <c r="CE17" i="1"/>
  <c r="CE29" i="1" s="1"/>
  <c r="BW17" i="1"/>
  <c r="BW29" i="1" s="1"/>
  <c r="BO17" i="1"/>
  <c r="BO29" i="1" s="1"/>
  <c r="BG17" i="1"/>
  <c r="BG29" i="1" s="1"/>
  <c r="AY17" i="1"/>
  <c r="AY29" i="1" s="1"/>
  <c r="AQ17" i="1"/>
  <c r="AQ29" i="1" s="1"/>
  <c r="AI17" i="1"/>
  <c r="AI29" i="1" s="1"/>
  <c r="AA17" i="1"/>
  <c r="AA29" i="1" s="1"/>
  <c r="S17" i="1"/>
  <c r="S29" i="1" s="1"/>
  <c r="CN18" i="1"/>
  <c r="CN30" i="1" s="1"/>
  <c r="CF18" i="1"/>
  <c r="CF30" i="1" s="1"/>
  <c r="BX18" i="1"/>
  <c r="BX30" i="1" s="1"/>
  <c r="BP18" i="1"/>
  <c r="BP30" i="1" s="1"/>
  <c r="BH18" i="1"/>
  <c r="BH30" i="1" s="1"/>
  <c r="AZ18" i="1"/>
  <c r="AZ30" i="1" s="1"/>
  <c r="AR18" i="1"/>
  <c r="AR30" i="1" s="1"/>
  <c r="AJ18" i="1"/>
  <c r="AJ30" i="1" s="1"/>
  <c r="AB18" i="1"/>
  <c r="AB30" i="1" s="1"/>
  <c r="T18" i="1"/>
  <c r="T30" i="1" s="1"/>
  <c r="CP22" i="1"/>
  <c r="CH22" i="1"/>
  <c r="BZ22" i="1"/>
  <c r="BR22" i="1"/>
  <c r="BJ22" i="1"/>
  <c r="BB22" i="1"/>
  <c r="AT22" i="1"/>
  <c r="AL22" i="1"/>
  <c r="AD22" i="1"/>
  <c r="V22" i="1"/>
  <c r="CP21" i="1"/>
  <c r="CH21" i="1"/>
  <c r="BZ21" i="1"/>
  <c r="BR21" i="1"/>
  <c r="BJ21" i="1"/>
  <c r="BB21" i="1"/>
  <c r="AT21" i="1"/>
  <c r="AL21" i="1"/>
  <c r="AD21" i="1"/>
  <c r="V21" i="1"/>
  <c r="CR21" i="1"/>
  <c r="BL21" i="1"/>
  <c r="AN21" i="1"/>
  <c r="CT17" i="1"/>
  <c r="CT29" i="1" s="1"/>
  <c r="CL17" i="1"/>
  <c r="CL29" i="1" s="1"/>
  <c r="CD17" i="1"/>
  <c r="CD29" i="1" s="1"/>
  <c r="BV17" i="1"/>
  <c r="BV29" i="1" s="1"/>
  <c r="BN17" i="1"/>
  <c r="BN29" i="1" s="1"/>
  <c r="BF17" i="1"/>
  <c r="BF29" i="1" s="1"/>
  <c r="AX17" i="1"/>
  <c r="AX29" i="1" s="1"/>
  <c r="AP17" i="1"/>
  <c r="AP29" i="1" s="1"/>
  <c r="AH17" i="1"/>
  <c r="AH29" i="1" s="1"/>
  <c r="Z17" i="1"/>
  <c r="Z29" i="1" s="1"/>
  <c r="CM18" i="1"/>
  <c r="CM30" i="1" s="1"/>
  <c r="CE18" i="1"/>
  <c r="CE30" i="1" s="1"/>
  <c r="BW18" i="1"/>
  <c r="BW30" i="1" s="1"/>
  <c r="BO18" i="1"/>
  <c r="BO30" i="1" s="1"/>
  <c r="BG18" i="1"/>
  <c r="BG30" i="1" s="1"/>
  <c r="AY18" i="1"/>
  <c r="AY30" i="1" s="1"/>
  <c r="AQ18" i="1"/>
  <c r="AQ30" i="1" s="1"/>
  <c r="AI18" i="1"/>
  <c r="AI30" i="1" s="1"/>
  <c r="AA18" i="1"/>
  <c r="AA30" i="1" s="1"/>
  <c r="S18" i="1"/>
  <c r="S30" i="1" s="1"/>
  <c r="CO22" i="1"/>
  <c r="CG22" i="1"/>
  <c r="BY22" i="1"/>
  <c r="BQ22" i="1"/>
  <c r="BI22" i="1"/>
  <c r="BA22" i="1"/>
  <c r="AS22" i="1"/>
  <c r="AK22" i="1"/>
  <c r="AC22" i="1"/>
  <c r="U22" i="1"/>
  <c r="CO21" i="1"/>
  <c r="CG21" i="1"/>
  <c r="BY21" i="1"/>
  <c r="BQ21" i="1"/>
  <c r="BI21" i="1"/>
  <c r="BA21" i="1"/>
  <c r="AS21" i="1"/>
  <c r="AK21" i="1"/>
  <c r="AC21" i="1"/>
  <c r="U21" i="1"/>
  <c r="CJ21" i="1"/>
  <c r="CS17" i="1"/>
  <c r="CS29" i="1" s="1"/>
  <c r="CK17" i="1"/>
  <c r="CK29" i="1" s="1"/>
  <c r="CC17" i="1"/>
  <c r="CC29" i="1" s="1"/>
  <c r="BU17" i="1"/>
  <c r="BU29" i="1" s="1"/>
  <c r="BM17" i="1"/>
  <c r="BM29" i="1" s="1"/>
  <c r="BE17" i="1"/>
  <c r="BE29" i="1" s="1"/>
  <c r="AW17" i="1"/>
  <c r="AW29" i="1" s="1"/>
  <c r="AO17" i="1"/>
  <c r="AO29" i="1" s="1"/>
  <c r="AG17" i="1"/>
  <c r="AG29" i="1" s="1"/>
  <c r="Y17" i="1"/>
  <c r="Y29" i="1" s="1"/>
  <c r="CT18" i="1"/>
  <c r="CT30" i="1" s="1"/>
  <c r="CL18" i="1"/>
  <c r="CL30" i="1" s="1"/>
  <c r="CD18" i="1"/>
  <c r="CD30" i="1" s="1"/>
  <c r="BV18" i="1"/>
  <c r="BV30" i="1" s="1"/>
  <c r="BN18" i="1"/>
  <c r="BN30" i="1" s="1"/>
  <c r="BF18" i="1"/>
  <c r="BF30" i="1" s="1"/>
  <c r="AX18" i="1"/>
  <c r="AX30" i="1" s="1"/>
  <c r="AP18" i="1"/>
  <c r="AP30" i="1" s="1"/>
  <c r="AH18" i="1"/>
  <c r="AH30" i="1" s="1"/>
  <c r="Z18" i="1"/>
  <c r="Z30" i="1" s="1"/>
  <c r="CN22" i="1"/>
  <c r="CF22" i="1"/>
  <c r="BX22" i="1"/>
  <c r="BP22" i="1"/>
  <c r="BH22" i="1"/>
  <c r="AZ22" i="1"/>
  <c r="AR22" i="1"/>
  <c r="AJ22" i="1"/>
  <c r="AB22" i="1"/>
  <c r="T22" i="1"/>
  <c r="CN21" i="1"/>
  <c r="CF21" i="1"/>
  <c r="BX21" i="1"/>
  <c r="BP21" i="1"/>
  <c r="BH21" i="1"/>
  <c r="AZ21" i="1"/>
  <c r="AR21" i="1"/>
  <c r="AJ21" i="1"/>
  <c r="AB21" i="1"/>
  <c r="T21" i="1"/>
  <c r="CM21" i="1"/>
  <c r="BW21" i="1"/>
  <c r="BG21" i="1"/>
  <c r="AQ21" i="1"/>
  <c r="AA21" i="1"/>
  <c r="S21" i="1"/>
  <c r="CQ17" i="1"/>
  <c r="CQ29" i="1" s="1"/>
  <c r="CI17" i="1"/>
  <c r="CI29" i="1" s="1"/>
  <c r="CA17" i="1"/>
  <c r="CA29" i="1" s="1"/>
  <c r="BS17" i="1"/>
  <c r="BS29" i="1" s="1"/>
  <c r="BK17" i="1"/>
  <c r="BK29" i="1" s="1"/>
  <c r="BC17" i="1"/>
  <c r="BC29" i="1" s="1"/>
  <c r="AU17" i="1"/>
  <c r="AU29" i="1" s="1"/>
  <c r="AM17" i="1"/>
  <c r="AM29" i="1" s="1"/>
  <c r="AE17" i="1"/>
  <c r="AE29" i="1" s="1"/>
  <c r="W17" i="1"/>
  <c r="W29" i="1" s="1"/>
  <c r="CR18" i="1"/>
  <c r="CR30" i="1" s="1"/>
  <c r="CJ18" i="1"/>
  <c r="CJ30" i="1" s="1"/>
  <c r="CB18" i="1"/>
  <c r="CB30" i="1" s="1"/>
  <c r="BT18" i="1"/>
  <c r="BT30" i="1" s="1"/>
  <c r="BL18" i="1"/>
  <c r="BL30" i="1" s="1"/>
  <c r="BD18" i="1"/>
  <c r="BD30" i="1" s="1"/>
  <c r="AV18" i="1"/>
  <c r="AV30" i="1" s="1"/>
  <c r="AN18" i="1"/>
  <c r="AN30" i="1" s="1"/>
  <c r="AF18" i="1"/>
  <c r="AF30" i="1" s="1"/>
  <c r="X18" i="1"/>
  <c r="X30" i="1" s="1"/>
  <c r="CT22" i="1"/>
  <c r="CL22" i="1"/>
  <c r="CD22" i="1"/>
  <c r="BV22" i="1"/>
  <c r="BN22" i="1"/>
  <c r="BF22" i="1"/>
  <c r="AX22" i="1"/>
  <c r="AP22" i="1"/>
  <c r="AH22" i="1"/>
  <c r="Z22" i="1"/>
  <c r="CT21" i="1"/>
  <c r="CL21" i="1"/>
  <c r="CD21" i="1"/>
  <c r="BV21" i="1"/>
  <c r="BN21" i="1"/>
  <c r="BF21" i="1"/>
  <c r="AX21" i="1"/>
  <c r="AP21" i="1"/>
  <c r="AH21" i="1"/>
  <c r="Z21" i="1"/>
  <c r="CE21" i="1"/>
  <c r="BO21" i="1"/>
  <c r="AY21" i="1"/>
  <c r="AI21" i="1"/>
  <c r="CP17" i="1"/>
  <c r="CP29" i="1" s="1"/>
  <c r="CH17" i="1"/>
  <c r="CH29" i="1" s="1"/>
  <c r="BZ17" i="1"/>
  <c r="BZ29" i="1" s="1"/>
  <c r="BR17" i="1"/>
  <c r="BR29" i="1" s="1"/>
  <c r="BJ17" i="1"/>
  <c r="BJ29" i="1" s="1"/>
  <c r="BB17" i="1"/>
  <c r="BB29" i="1" s="1"/>
  <c r="AT17" i="1"/>
  <c r="AT29" i="1" s="1"/>
  <c r="AL17" i="1"/>
  <c r="AL29" i="1" s="1"/>
  <c r="AD17" i="1"/>
  <c r="AD29" i="1" s="1"/>
  <c r="V17" i="1"/>
  <c r="V29" i="1" s="1"/>
  <c r="CQ18" i="1"/>
  <c r="CQ30" i="1" s="1"/>
  <c r="CI18" i="1"/>
  <c r="CI30" i="1" s="1"/>
  <c r="CA18" i="1"/>
  <c r="CA30" i="1" s="1"/>
  <c r="BS18" i="1"/>
  <c r="BS30" i="1" s="1"/>
  <c r="BK18" i="1"/>
  <c r="BK30" i="1" s="1"/>
  <c r="BC18" i="1"/>
  <c r="BC30" i="1" s="1"/>
  <c r="AU18" i="1"/>
  <c r="AU30" i="1" s="1"/>
  <c r="AM18" i="1"/>
  <c r="AM30" i="1" s="1"/>
  <c r="AE18" i="1"/>
  <c r="AE30" i="1" s="1"/>
  <c r="W18" i="1"/>
  <c r="W30" i="1" s="1"/>
  <c r="CS22" i="1"/>
  <c r="CK22" i="1"/>
  <c r="CC22" i="1"/>
  <c r="BU22" i="1"/>
  <c r="BM22" i="1"/>
  <c r="BE22" i="1"/>
  <c r="AW22" i="1"/>
  <c r="AO22" i="1"/>
  <c r="AG22" i="1"/>
  <c r="Y22" i="1"/>
  <c r="CS21" i="1"/>
  <c r="CK21" i="1"/>
  <c r="CC21" i="1"/>
  <c r="BU21" i="1"/>
  <c r="BM21" i="1"/>
  <c r="BE21" i="1"/>
  <c r="AW21" i="1"/>
  <c r="AO21" i="1"/>
  <c r="AG21" i="1"/>
  <c r="Y21" i="1"/>
  <c r="BT21" i="1"/>
  <c r="AV21" i="1"/>
  <c r="AF21" i="1"/>
  <c r="CN17" i="1"/>
  <c r="CN29" i="1" s="1"/>
  <c r="CF17" i="1"/>
  <c r="CF29" i="1" s="1"/>
  <c r="BX17" i="1"/>
  <c r="BX29" i="1" s="1"/>
  <c r="BP17" i="1"/>
  <c r="BP29" i="1" s="1"/>
  <c r="BH17" i="1"/>
  <c r="BH29" i="1" s="1"/>
  <c r="AZ17" i="1"/>
  <c r="AZ29" i="1" s="1"/>
  <c r="AR17" i="1"/>
  <c r="AR29" i="1" s="1"/>
  <c r="AJ17" i="1"/>
  <c r="AJ29" i="1" s="1"/>
  <c r="AB17" i="1"/>
  <c r="AB29" i="1" s="1"/>
  <c r="CO18" i="1"/>
  <c r="CO30" i="1" s="1"/>
  <c r="CG18" i="1"/>
  <c r="CG30" i="1" s="1"/>
  <c r="BY18" i="1"/>
  <c r="BY30" i="1" s="1"/>
  <c r="BQ18" i="1"/>
  <c r="BQ30" i="1" s="1"/>
  <c r="BI18" i="1"/>
  <c r="BI30" i="1" s="1"/>
  <c r="BA18" i="1"/>
  <c r="BA30" i="1" s="1"/>
  <c r="AS18" i="1"/>
  <c r="AS30" i="1" s="1"/>
  <c r="AK18" i="1"/>
  <c r="AK30" i="1" s="1"/>
  <c r="AC18" i="1"/>
  <c r="AC30" i="1" s="1"/>
  <c r="CQ22" i="1"/>
  <c r="CI22" i="1"/>
  <c r="CA22" i="1"/>
  <c r="BS22" i="1"/>
  <c r="BK22" i="1"/>
  <c r="BC22" i="1"/>
  <c r="AU22" i="1"/>
  <c r="AM22" i="1"/>
  <c r="AE22" i="1"/>
  <c r="CQ21" i="1"/>
  <c r="CI21" i="1"/>
  <c r="CA21" i="1"/>
  <c r="BS21" i="1"/>
  <c r="BK21" i="1"/>
  <c r="BC21" i="1"/>
  <c r="AU21" i="1"/>
  <c r="AM21" i="1"/>
  <c r="AE21" i="1"/>
  <c r="CV46" i="1" l="1"/>
  <c r="CV33" i="1"/>
  <c r="R29" i="1"/>
  <c r="CV41" i="1" s="1"/>
  <c r="CW41" i="1" s="1"/>
  <c r="CV17" i="1"/>
  <c r="CV30" i="1"/>
  <c r="CV34" i="1"/>
  <c r="CV22" i="1"/>
  <c r="CV21" i="1"/>
  <c r="CV18" i="1"/>
  <c r="CW45" i="1" l="1"/>
  <c r="CX41" i="1" s="1"/>
  <c r="CY41" i="1" s="1"/>
  <c r="CV29" i="1"/>
  <c r="CW29" i="1" s="1"/>
  <c r="CW33" i="1"/>
  <c r="CW21" i="1"/>
  <c r="CW17" i="1"/>
  <c r="CX17" i="1" s="1"/>
  <c r="CY17" i="1" s="1"/>
  <c r="CX29" i="1" l="1"/>
  <c r="CY29" i="1" s="1"/>
</calcChain>
</file>

<file path=xl/sharedStrings.xml><?xml version="1.0" encoding="utf-8"?>
<sst xmlns="http://schemas.openxmlformats.org/spreadsheetml/2006/main" count="416" uniqueCount="74">
  <si>
    <t>BOP_capacity</t>
  </si>
  <si>
    <t>BOP_TOT_revenueEL</t>
  </si>
  <si>
    <t>IP_capacity</t>
  </si>
  <si>
    <t>IP_TOT_revenueBY</t>
  </si>
  <si>
    <t>Multiplier</t>
  </si>
  <si>
    <t>NPV</t>
  </si>
  <si>
    <t>DiscountRate</t>
  </si>
  <si>
    <t>tax</t>
  </si>
  <si>
    <t>inflation</t>
  </si>
  <si>
    <t>ProjectTime</t>
  </si>
  <si>
    <t>customTime2</t>
  </si>
  <si>
    <t>None</t>
  </si>
  <si>
    <t>BOP_CAPEX_alpha</t>
  </si>
  <si>
    <t>BOP_CAPEX_ref</t>
  </si>
  <si>
    <t>BOP_CAPEX_x</t>
  </si>
  <si>
    <t>BOP_CAPEX_depreciation</t>
  </si>
  <si>
    <t>BOP_CAPEX_inflation</t>
  </si>
  <si>
    <t>BOP_CAPEX_tax</t>
  </si>
  <si>
    <t>BOP_Recurring_inflation</t>
  </si>
  <si>
    <t>BOP_Recurring_tax</t>
  </si>
  <si>
    <t>BOP_Recurring_alpha</t>
  </si>
  <si>
    <t>BOP_lifetime</t>
  </si>
  <si>
    <t>BOP_CAPEX_driver</t>
  </si>
  <si>
    <t>BOP_Recurring_driver</t>
  </si>
  <si>
    <t>IP_lifetime</t>
  </si>
  <si>
    <t>IP_startTime</t>
  </si>
  <si>
    <t>IP_repetitions</t>
  </si>
  <si>
    <t>IP_CAPEX_alpha</t>
  </si>
  <si>
    <t>IP_CAPEX_driver</t>
  </si>
  <si>
    <t>IP_CAPEX_ref</t>
  </si>
  <si>
    <t>IP_CAPEX_x</t>
  </si>
  <si>
    <t>IP_CAPEX_inflation</t>
  </si>
  <si>
    <t>IP_CAPEX_tax</t>
  </si>
  <si>
    <t>IP_Recurring_alpha</t>
  </si>
  <si>
    <t>IP_Recurring_driver</t>
  </si>
  <si>
    <t>IP_Recurring_inflation</t>
  </si>
  <si>
    <t>IP_Recurring_tax</t>
  </si>
  <si>
    <t>customTime2-Simple</t>
  </si>
  <si>
    <t>Year</t>
  </si>
  <si>
    <t>Tax</t>
  </si>
  <si>
    <t>Discount</t>
  </si>
  <si>
    <t>BOP_CAPEX</t>
  </si>
  <si>
    <t>BOP_Recurring</t>
  </si>
  <si>
    <t>IP_CAPEX</t>
  </si>
  <si>
    <t>IP_Recurring</t>
  </si>
  <si>
    <t>operating CAPEX</t>
  </si>
  <si>
    <t>operating Recurring</t>
  </si>
  <si>
    <t>CF SUM</t>
  </si>
  <si>
    <t>COMP SUM</t>
  </si>
  <si>
    <t>TOTAL SUM</t>
  </si>
  <si>
    <t>DIFF CSV</t>
  </si>
  <si>
    <t>0207d56</t>
  </si>
  <si>
    <t>BOP_startTime</t>
  </si>
  <si>
    <t>BOP_repetitions</t>
  </si>
  <si>
    <t>BOP</t>
  </si>
  <si>
    <t>IP</t>
  </si>
  <si>
    <t>operating CAPEX (FWD)</t>
  </si>
  <si>
    <t>operating CAPEX (BWD)</t>
  </si>
  <si>
    <t>operating Recurring (BWD)</t>
  </si>
  <si>
    <t>opearting Recurring (FWD)</t>
  </si>
  <si>
    <t>Lifetime</t>
  </si>
  <si>
    <t>StartTime</t>
  </si>
  <si>
    <t>Repetitions</t>
  </si>
  <si>
    <t>-</t>
  </si>
  <si>
    <t>BIG ASSUMPTION:</t>
  </si>
  <si>
    <t>OPERATIONS ARE NOT CONSIDERED BEFORE YEAR 1</t>
  </si>
  <si>
    <t>Fixing negative start times</t>
  </si>
  <si>
    <t>e88881f</t>
  </si>
  <si>
    <t>commit:e88881f</t>
  </si>
  <si>
    <t>customTime3
iteration 1</t>
  </si>
  <si>
    <t>customTime3
iteration 2</t>
  </si>
  <si>
    <t>Tracking builds and operations</t>
  </si>
  <si>
    <t>*operations in year 0 are NOT logged even if start&lt;0, this is a "fictitious" year for construction</t>
  </si>
  <si>
    <t>testing a negative start time with repetitions=0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</si>
</sst>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000E+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1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1" fontId="2" fillId="0" borderId="8" xfId="0" applyNumberFormat="1" applyFont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11" fontId="2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1" fontId="2" fillId="0" borderId="11" xfId="0" applyNumberFormat="1" applyFont="1" applyBorder="1" applyAlignment="1">
      <alignment horizontal="center"/>
    </xf>
    <xf numFmtId="11" fontId="2" fillId="0" borderId="1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3" fillId="10" borderId="10" xfId="0" applyFont="1" applyFill="1" applyBorder="1" applyAlignment="1">
      <alignment horizontal="right"/>
    </xf>
    <xf numFmtId="0" fontId="3" fillId="10" borderId="11" xfId="0" applyFont="1" applyFill="1" applyBorder="1" applyAlignment="1">
      <alignment horizontal="right"/>
    </xf>
    <xf numFmtId="0" fontId="1" fillId="10" borderId="11" xfId="0" applyFont="1" applyFill="1" applyBorder="1" applyAlignment="1">
      <alignment horizontal="left"/>
    </xf>
    <xf numFmtId="0" fontId="1" fillId="10" borderId="12" xfId="0" applyFont="1" applyFill="1" applyBorder="1" applyAlignment="1">
      <alignment horizontal="left"/>
    </xf>
    <xf numFmtId="0" fontId="0" fillId="11" borderId="15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14" borderId="5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0" fontId="0" fillId="12" borderId="12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13" borderId="11" xfId="0" applyFill="1" applyBorder="1" applyAlignment="1">
      <alignment horizontal="left"/>
    </xf>
    <xf numFmtId="0" fontId="0" fillId="13" borderId="12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12" borderId="10" xfId="0" applyFill="1" applyBorder="1" applyAlignment="1">
      <alignment horizontal="right"/>
    </xf>
    <xf numFmtId="0" fontId="0" fillId="12" borderId="11" xfId="0" applyFill="1" applyBorder="1" applyAlignment="1">
      <alignment horizontal="right"/>
    </xf>
    <xf numFmtId="0" fontId="0" fillId="12" borderId="12" xfId="0" applyFill="1" applyBorder="1" applyAlignment="1">
      <alignment horizontal="right"/>
    </xf>
    <xf numFmtId="0" fontId="0" fillId="13" borderId="10" xfId="0" applyFill="1" applyBorder="1" applyAlignment="1">
      <alignment horizontal="right"/>
    </xf>
    <xf numFmtId="0" fontId="0" fillId="13" borderId="11" xfId="0" applyFill="1" applyBorder="1" applyAlignment="1">
      <alignment horizontal="right"/>
    </xf>
    <xf numFmtId="0" fontId="0" fillId="13" borderId="12" xfId="0" applyFill="1" applyBorder="1" applyAlignment="1">
      <alignment horizontal="right"/>
    </xf>
    <xf numFmtId="0" fontId="0" fillId="8" borderId="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6" xfId="0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11" fontId="0" fillId="6" borderId="10" xfId="0" applyNumberFormat="1" applyFill="1" applyBorder="1" applyAlignment="1">
      <alignment horizontal="center"/>
    </xf>
    <xf numFmtId="11" fontId="0" fillId="6" borderId="12" xfId="0" applyNumberFormat="1" applyFill="1" applyBorder="1" applyAlignment="1">
      <alignment horizontal="center"/>
    </xf>
    <xf numFmtId="11" fontId="0" fillId="6" borderId="10" xfId="0" applyNumberFormat="1" applyFill="1" applyBorder="1" applyAlignment="1">
      <alignment horizontal="center" vertical="center"/>
    </xf>
    <xf numFmtId="11" fontId="0" fillId="6" borderId="12" xfId="0" applyNumberForma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5" borderId="0" xfId="0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6" borderId="11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textRotation="90" wrapText="1"/>
    </xf>
    <xf numFmtId="0" fontId="1" fillId="8" borderId="11" xfId="0" applyFont="1" applyFill="1" applyBorder="1" applyAlignment="1">
      <alignment horizontal="center" vertical="center" textRotation="90"/>
    </xf>
    <xf numFmtId="0" fontId="1" fillId="8" borderId="12" xfId="0" applyFont="1" applyFill="1" applyBorder="1" applyAlignment="1">
      <alignment horizontal="center" vertical="center" textRotation="90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1" fontId="0" fillId="12" borderId="2" xfId="0" applyNumberFormat="1" applyFill="1" applyBorder="1" applyAlignment="1">
      <alignment horizontal="center" vertical="center"/>
    </xf>
    <xf numFmtId="11" fontId="0" fillId="12" borderId="7" xfId="0" applyNumberFormat="1" applyFill="1" applyBorder="1" applyAlignment="1">
      <alignment horizontal="center" vertical="center"/>
    </xf>
    <xf numFmtId="165" fontId="0" fillId="8" borderId="10" xfId="0" applyNumberFormat="1" applyFill="1" applyBorder="1" applyAlignment="1">
      <alignment horizontal="center" vertical="center"/>
    </xf>
    <xf numFmtId="165" fontId="0" fillId="8" borderId="11" xfId="0" applyNumberFormat="1" applyFill="1" applyBorder="1" applyAlignment="1">
      <alignment horizontal="center" vertical="center"/>
    </xf>
    <xf numFmtId="165" fontId="0" fillId="8" borderId="12" xfId="0" applyNumberFormat="1" applyFill="1" applyBorder="1" applyAlignment="1">
      <alignment horizontal="center" vertical="center"/>
    </xf>
    <xf numFmtId="11" fontId="0" fillId="4" borderId="10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1" fontId="0" fillId="13" borderId="2" xfId="0" applyNumberFormat="1" applyFill="1" applyBorder="1" applyAlignment="1">
      <alignment horizontal="center" vertical="center"/>
    </xf>
    <xf numFmtId="11" fontId="0" fillId="13" borderId="7" xfId="0" applyNumberForma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1" fillId="7" borderId="10" xfId="0" applyFont="1" applyFill="1" applyBorder="1" applyAlignment="1">
      <alignment horizontal="center" vertical="center" textRotation="90"/>
    </xf>
    <xf numFmtId="0" fontId="1" fillId="7" borderId="11" xfId="0" applyFont="1" applyFill="1" applyBorder="1" applyAlignment="1">
      <alignment horizontal="center" vertical="center" textRotation="90"/>
    </xf>
    <xf numFmtId="0" fontId="1" fillId="7" borderId="12" xfId="0" applyFont="1" applyFill="1" applyBorder="1" applyAlignment="1">
      <alignment horizontal="center" vertical="center" textRotation="90"/>
    </xf>
    <xf numFmtId="0" fontId="5" fillId="15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5" fontId="0" fillId="6" borderId="11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9DE2-9624-43FE-9C78-24C59CBA4A8A}">
  <dimension ref="B2:CY99"/>
  <sheetViews>
    <sheetView tabSelected="1" topLeftCell="H64" zoomScaleNormal="100" workbookViewId="0">
      <selection activeCell="AD110" sqref="AD110"/>
    </sheetView>
  </sheetViews>
  <sheetFormatPr defaultRowHeight="15" x14ac:dyDescent="0.25"/>
  <cols>
    <col min="2" max="2" width="26.5703125" style="3" bestFit="1" customWidth="1"/>
    <col min="3" max="8" width="23.140625" customWidth="1"/>
    <col min="9" max="9" width="12.42578125" customWidth="1"/>
    <col min="11" max="11" width="16.7109375" bestFit="1" customWidth="1"/>
    <col min="15" max="15" width="3.7109375" bestFit="1" customWidth="1"/>
    <col min="16" max="16" width="5.42578125" customWidth="1"/>
    <col min="17" max="17" width="25" bestFit="1" customWidth="1"/>
    <col min="18" max="18" width="10.5703125" bestFit="1" customWidth="1"/>
    <col min="78" max="78" width="9.140625" customWidth="1"/>
    <col min="100" max="100" width="12.42578125" customWidth="1"/>
    <col min="101" max="101" width="16.42578125" customWidth="1"/>
    <col min="102" max="102" width="22.28515625" customWidth="1"/>
    <col min="103" max="103" width="11.140625" customWidth="1"/>
  </cols>
  <sheetData>
    <row r="2" spans="2:103" x14ac:dyDescent="0.25">
      <c r="C2" s="42"/>
      <c r="D2" s="42"/>
      <c r="E2" s="43" t="s">
        <v>68</v>
      </c>
      <c r="F2" s="43" t="s">
        <v>68</v>
      </c>
    </row>
    <row r="3" spans="2:103" ht="30.75" thickBot="1" x14ac:dyDescent="0.3">
      <c r="C3" s="42" t="s">
        <v>10</v>
      </c>
      <c r="D3" s="44" t="s">
        <v>37</v>
      </c>
      <c r="E3" s="117" t="s">
        <v>69</v>
      </c>
      <c r="F3" s="117" t="s">
        <v>70</v>
      </c>
    </row>
    <row r="4" spans="2:103" x14ac:dyDescent="0.25">
      <c r="B4" s="4" t="s">
        <v>6</v>
      </c>
      <c r="C4" s="7">
        <v>0.05</v>
      </c>
      <c r="D4" s="7">
        <v>0.05</v>
      </c>
      <c r="E4" s="8">
        <v>0.05</v>
      </c>
      <c r="F4" s="8">
        <v>0.05</v>
      </c>
    </row>
    <row r="5" spans="2:103" x14ac:dyDescent="0.25">
      <c r="B5" s="5" t="s">
        <v>7</v>
      </c>
      <c r="C5" s="9">
        <v>0.39200000000000002</v>
      </c>
      <c r="D5" s="9">
        <v>0.39200000000000002</v>
      </c>
      <c r="E5" s="10">
        <v>0.39200000000000002</v>
      </c>
      <c r="F5" s="10">
        <v>0.39200000000000002</v>
      </c>
      <c r="K5" t="s">
        <v>64</v>
      </c>
      <c r="L5" t="s">
        <v>65</v>
      </c>
    </row>
    <row r="6" spans="2:103" x14ac:dyDescent="0.25">
      <c r="B6" s="5" t="s">
        <v>8</v>
      </c>
      <c r="C6" s="9">
        <v>0.04</v>
      </c>
      <c r="D6" s="9">
        <v>0.04</v>
      </c>
      <c r="E6" s="10">
        <v>0.04</v>
      </c>
      <c r="F6" s="10">
        <v>0.04</v>
      </c>
    </row>
    <row r="7" spans="2:103" ht="15.75" thickBot="1" x14ac:dyDescent="0.3">
      <c r="B7" s="6" t="s">
        <v>9</v>
      </c>
      <c r="C7" s="11">
        <v>80</v>
      </c>
      <c r="D7" s="11">
        <v>80</v>
      </c>
      <c r="E7" s="12">
        <v>80</v>
      </c>
      <c r="F7" s="12">
        <v>80</v>
      </c>
    </row>
    <row r="8" spans="2:103" ht="15.75" thickBot="1" x14ac:dyDescent="0.3"/>
    <row r="9" spans="2:103" ht="15.75" thickBot="1" x14ac:dyDescent="0.3">
      <c r="B9" s="81" t="s">
        <v>21</v>
      </c>
      <c r="C9" s="7">
        <v>60</v>
      </c>
      <c r="D9" s="7">
        <v>60</v>
      </c>
      <c r="E9" s="8">
        <v>60</v>
      </c>
      <c r="F9" s="8">
        <v>60</v>
      </c>
      <c r="G9" s="1"/>
      <c r="H9" s="1"/>
      <c r="I9" s="1"/>
      <c r="J9" s="1"/>
      <c r="K9" s="1"/>
      <c r="L9" s="1"/>
      <c r="M9" s="1"/>
    </row>
    <row r="10" spans="2:103" ht="15.75" thickBot="1" x14ac:dyDescent="0.3">
      <c r="B10" s="82" t="s">
        <v>52</v>
      </c>
      <c r="C10" s="9">
        <v>0</v>
      </c>
      <c r="D10" s="9">
        <v>0</v>
      </c>
      <c r="E10" s="10">
        <v>0</v>
      </c>
      <c r="F10" s="96">
        <v>-10</v>
      </c>
      <c r="G10" s="1"/>
      <c r="H10" s="1"/>
      <c r="I10" s="1"/>
      <c r="J10" s="1"/>
      <c r="K10" s="1"/>
      <c r="L10" s="1"/>
      <c r="M10" s="1"/>
      <c r="CV10" s="144" t="s">
        <v>47</v>
      </c>
      <c r="CW10" s="147" t="s">
        <v>48</v>
      </c>
      <c r="CX10" s="160" t="s">
        <v>49</v>
      </c>
      <c r="CY10" s="163" t="s">
        <v>50</v>
      </c>
    </row>
    <row r="11" spans="2:103" ht="15.75" thickBot="1" x14ac:dyDescent="0.3">
      <c r="B11" s="82" t="s">
        <v>53</v>
      </c>
      <c r="C11" s="9" t="s">
        <v>11</v>
      </c>
      <c r="D11" s="9" t="s">
        <v>11</v>
      </c>
      <c r="E11" s="10" t="s">
        <v>11</v>
      </c>
      <c r="F11" s="10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53" t="s">
        <v>38</v>
      </c>
      <c r="R11" s="50">
        <v>0</v>
      </c>
      <c r="S11" s="51">
        <v>1</v>
      </c>
      <c r="T11" s="51">
        <v>2</v>
      </c>
      <c r="U11" s="51">
        <v>3</v>
      </c>
      <c r="V11" s="51">
        <v>4</v>
      </c>
      <c r="W11" s="51">
        <v>5</v>
      </c>
      <c r="X11" s="51">
        <v>6</v>
      </c>
      <c r="Y11" s="51">
        <v>7</v>
      </c>
      <c r="Z11" s="51">
        <v>8</v>
      </c>
      <c r="AA11" s="51">
        <v>9</v>
      </c>
      <c r="AB11" s="51">
        <v>10</v>
      </c>
      <c r="AC11" s="51">
        <v>11</v>
      </c>
      <c r="AD11" s="51">
        <v>12</v>
      </c>
      <c r="AE11" s="51">
        <v>13</v>
      </c>
      <c r="AF11" s="51">
        <v>14</v>
      </c>
      <c r="AG11" s="51">
        <v>15</v>
      </c>
      <c r="AH11" s="51">
        <v>16</v>
      </c>
      <c r="AI11" s="51">
        <v>17</v>
      </c>
      <c r="AJ11" s="51">
        <v>18</v>
      </c>
      <c r="AK11" s="51">
        <v>19</v>
      </c>
      <c r="AL11" s="51">
        <v>20</v>
      </c>
      <c r="AM11" s="51">
        <v>21</v>
      </c>
      <c r="AN11" s="51">
        <v>22</v>
      </c>
      <c r="AO11" s="51">
        <v>23</v>
      </c>
      <c r="AP11" s="51">
        <v>24</v>
      </c>
      <c r="AQ11" s="51">
        <v>25</v>
      </c>
      <c r="AR11" s="51">
        <v>26</v>
      </c>
      <c r="AS11" s="51">
        <v>27</v>
      </c>
      <c r="AT11" s="51">
        <v>28</v>
      </c>
      <c r="AU11" s="51">
        <v>29</v>
      </c>
      <c r="AV11" s="51">
        <v>30</v>
      </c>
      <c r="AW11" s="51">
        <v>31</v>
      </c>
      <c r="AX11" s="51">
        <v>32</v>
      </c>
      <c r="AY11" s="51">
        <v>33</v>
      </c>
      <c r="AZ11" s="51">
        <v>34</v>
      </c>
      <c r="BA11" s="51">
        <v>35</v>
      </c>
      <c r="BB11" s="51">
        <v>36</v>
      </c>
      <c r="BC11" s="51">
        <v>37</v>
      </c>
      <c r="BD11" s="51">
        <v>38</v>
      </c>
      <c r="BE11" s="51">
        <v>39</v>
      </c>
      <c r="BF11" s="51">
        <v>40</v>
      </c>
      <c r="BG11" s="51">
        <v>41</v>
      </c>
      <c r="BH11" s="51">
        <v>42</v>
      </c>
      <c r="BI11" s="51">
        <v>43</v>
      </c>
      <c r="BJ11" s="51">
        <v>44</v>
      </c>
      <c r="BK11" s="51">
        <v>45</v>
      </c>
      <c r="BL11" s="51">
        <v>46</v>
      </c>
      <c r="BM11" s="51">
        <v>47</v>
      </c>
      <c r="BN11" s="51">
        <v>48</v>
      </c>
      <c r="BO11" s="51">
        <v>49</v>
      </c>
      <c r="BP11" s="51">
        <v>50</v>
      </c>
      <c r="BQ11" s="51">
        <v>51</v>
      </c>
      <c r="BR11" s="51">
        <v>52</v>
      </c>
      <c r="BS11" s="51">
        <v>53</v>
      </c>
      <c r="BT11" s="51">
        <v>54</v>
      </c>
      <c r="BU11" s="51">
        <v>55</v>
      </c>
      <c r="BV11" s="51">
        <v>56</v>
      </c>
      <c r="BW11" s="51">
        <v>57</v>
      </c>
      <c r="BX11" s="51">
        <v>58</v>
      </c>
      <c r="BY11" s="51">
        <v>59</v>
      </c>
      <c r="BZ11" s="51">
        <v>60</v>
      </c>
      <c r="CA11" s="51">
        <v>61</v>
      </c>
      <c r="CB11" s="51">
        <v>62</v>
      </c>
      <c r="CC11" s="51">
        <v>63</v>
      </c>
      <c r="CD11" s="51">
        <v>64</v>
      </c>
      <c r="CE11" s="51">
        <v>65</v>
      </c>
      <c r="CF11" s="51">
        <v>66</v>
      </c>
      <c r="CG11" s="51">
        <v>67</v>
      </c>
      <c r="CH11" s="51">
        <v>68</v>
      </c>
      <c r="CI11" s="51">
        <v>69</v>
      </c>
      <c r="CJ11" s="51">
        <v>70</v>
      </c>
      <c r="CK11" s="51">
        <v>71</v>
      </c>
      <c r="CL11" s="51">
        <v>72</v>
      </c>
      <c r="CM11" s="51">
        <v>73</v>
      </c>
      <c r="CN11" s="51">
        <v>74</v>
      </c>
      <c r="CO11" s="51">
        <v>75</v>
      </c>
      <c r="CP11" s="51">
        <v>76</v>
      </c>
      <c r="CQ11" s="51">
        <v>77</v>
      </c>
      <c r="CR11" s="51">
        <v>78</v>
      </c>
      <c r="CS11" s="51">
        <v>79</v>
      </c>
      <c r="CT11" s="52">
        <v>80</v>
      </c>
      <c r="CV11" s="145"/>
      <c r="CW11" s="148"/>
      <c r="CX11" s="161"/>
      <c r="CY11" s="164"/>
    </row>
    <row r="12" spans="2:103" x14ac:dyDescent="0.25">
      <c r="B12" s="82" t="s">
        <v>12</v>
      </c>
      <c r="C12" s="15">
        <v>-4510000000</v>
      </c>
      <c r="D12" s="15">
        <v>-4510000000</v>
      </c>
      <c r="E12" s="16">
        <v>-4510000000</v>
      </c>
      <c r="F12" s="16">
        <v>-4510000000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54" t="s">
        <v>39</v>
      </c>
      <c r="R12" s="45">
        <f>1-$D$5</f>
        <v>0.60799999999999998</v>
      </c>
      <c r="S12" s="27">
        <f t="shared" ref="S12:CD12" si="0">1-$D$5</f>
        <v>0.60799999999999998</v>
      </c>
      <c r="T12" s="27">
        <f t="shared" si="0"/>
        <v>0.60799999999999998</v>
      </c>
      <c r="U12" s="27">
        <f t="shared" si="0"/>
        <v>0.60799999999999998</v>
      </c>
      <c r="V12" s="27">
        <f t="shared" si="0"/>
        <v>0.60799999999999998</v>
      </c>
      <c r="W12" s="27">
        <f t="shared" si="0"/>
        <v>0.60799999999999998</v>
      </c>
      <c r="X12" s="27">
        <f t="shared" si="0"/>
        <v>0.60799999999999998</v>
      </c>
      <c r="Y12" s="27">
        <f t="shared" si="0"/>
        <v>0.60799999999999998</v>
      </c>
      <c r="Z12" s="27">
        <f t="shared" si="0"/>
        <v>0.60799999999999998</v>
      </c>
      <c r="AA12" s="27">
        <f t="shared" si="0"/>
        <v>0.60799999999999998</v>
      </c>
      <c r="AB12" s="27">
        <f t="shared" si="0"/>
        <v>0.60799999999999998</v>
      </c>
      <c r="AC12" s="27">
        <f t="shared" si="0"/>
        <v>0.60799999999999998</v>
      </c>
      <c r="AD12" s="27">
        <f t="shared" si="0"/>
        <v>0.60799999999999998</v>
      </c>
      <c r="AE12" s="27">
        <f t="shared" si="0"/>
        <v>0.60799999999999998</v>
      </c>
      <c r="AF12" s="27">
        <f t="shared" si="0"/>
        <v>0.60799999999999998</v>
      </c>
      <c r="AG12" s="27">
        <f t="shared" si="0"/>
        <v>0.60799999999999998</v>
      </c>
      <c r="AH12" s="27">
        <f t="shared" si="0"/>
        <v>0.60799999999999998</v>
      </c>
      <c r="AI12" s="27">
        <f t="shared" si="0"/>
        <v>0.60799999999999998</v>
      </c>
      <c r="AJ12" s="27">
        <f t="shared" si="0"/>
        <v>0.60799999999999998</v>
      </c>
      <c r="AK12" s="27">
        <f t="shared" si="0"/>
        <v>0.60799999999999998</v>
      </c>
      <c r="AL12" s="27">
        <f t="shared" si="0"/>
        <v>0.60799999999999998</v>
      </c>
      <c r="AM12" s="27">
        <f t="shared" si="0"/>
        <v>0.60799999999999998</v>
      </c>
      <c r="AN12" s="27">
        <f t="shared" si="0"/>
        <v>0.60799999999999998</v>
      </c>
      <c r="AO12" s="27">
        <f t="shared" si="0"/>
        <v>0.60799999999999998</v>
      </c>
      <c r="AP12" s="27">
        <f t="shared" si="0"/>
        <v>0.60799999999999998</v>
      </c>
      <c r="AQ12" s="27">
        <f t="shared" si="0"/>
        <v>0.60799999999999998</v>
      </c>
      <c r="AR12" s="27">
        <f t="shared" si="0"/>
        <v>0.60799999999999998</v>
      </c>
      <c r="AS12" s="27">
        <f t="shared" si="0"/>
        <v>0.60799999999999998</v>
      </c>
      <c r="AT12" s="27">
        <f t="shared" si="0"/>
        <v>0.60799999999999998</v>
      </c>
      <c r="AU12" s="27">
        <f t="shared" si="0"/>
        <v>0.60799999999999998</v>
      </c>
      <c r="AV12" s="27">
        <f t="shared" si="0"/>
        <v>0.60799999999999998</v>
      </c>
      <c r="AW12" s="27">
        <f t="shared" si="0"/>
        <v>0.60799999999999998</v>
      </c>
      <c r="AX12" s="27">
        <f t="shared" si="0"/>
        <v>0.60799999999999998</v>
      </c>
      <c r="AY12" s="27">
        <f t="shared" si="0"/>
        <v>0.60799999999999998</v>
      </c>
      <c r="AZ12" s="27">
        <f t="shared" si="0"/>
        <v>0.60799999999999998</v>
      </c>
      <c r="BA12" s="27">
        <f t="shared" si="0"/>
        <v>0.60799999999999998</v>
      </c>
      <c r="BB12" s="27">
        <f t="shared" si="0"/>
        <v>0.60799999999999998</v>
      </c>
      <c r="BC12" s="27">
        <f t="shared" si="0"/>
        <v>0.60799999999999998</v>
      </c>
      <c r="BD12" s="27">
        <f t="shared" si="0"/>
        <v>0.60799999999999998</v>
      </c>
      <c r="BE12" s="27">
        <f t="shared" si="0"/>
        <v>0.60799999999999998</v>
      </c>
      <c r="BF12" s="27">
        <f t="shared" si="0"/>
        <v>0.60799999999999998</v>
      </c>
      <c r="BG12" s="27">
        <f t="shared" si="0"/>
        <v>0.60799999999999998</v>
      </c>
      <c r="BH12" s="27">
        <f t="shared" si="0"/>
        <v>0.60799999999999998</v>
      </c>
      <c r="BI12" s="27">
        <f t="shared" si="0"/>
        <v>0.60799999999999998</v>
      </c>
      <c r="BJ12" s="27">
        <f t="shared" si="0"/>
        <v>0.60799999999999998</v>
      </c>
      <c r="BK12" s="27">
        <f t="shared" si="0"/>
        <v>0.60799999999999998</v>
      </c>
      <c r="BL12" s="27">
        <f t="shared" si="0"/>
        <v>0.60799999999999998</v>
      </c>
      <c r="BM12" s="27">
        <f t="shared" si="0"/>
        <v>0.60799999999999998</v>
      </c>
      <c r="BN12" s="27">
        <f t="shared" si="0"/>
        <v>0.60799999999999998</v>
      </c>
      <c r="BO12" s="27">
        <f t="shared" si="0"/>
        <v>0.60799999999999998</v>
      </c>
      <c r="BP12" s="27">
        <f t="shared" si="0"/>
        <v>0.60799999999999998</v>
      </c>
      <c r="BQ12" s="27">
        <f t="shared" si="0"/>
        <v>0.60799999999999998</v>
      </c>
      <c r="BR12" s="27">
        <f t="shared" si="0"/>
        <v>0.60799999999999998</v>
      </c>
      <c r="BS12" s="27">
        <f>1-$D$5</f>
        <v>0.60799999999999998</v>
      </c>
      <c r="BT12" s="27">
        <f t="shared" si="0"/>
        <v>0.60799999999999998</v>
      </c>
      <c r="BU12" s="27">
        <f t="shared" si="0"/>
        <v>0.60799999999999998</v>
      </c>
      <c r="BV12" s="27">
        <f t="shared" si="0"/>
        <v>0.60799999999999998</v>
      </c>
      <c r="BW12" s="27">
        <f t="shared" si="0"/>
        <v>0.60799999999999998</v>
      </c>
      <c r="BX12" s="27">
        <f t="shared" si="0"/>
        <v>0.60799999999999998</v>
      </c>
      <c r="BY12" s="27">
        <f t="shared" si="0"/>
        <v>0.60799999999999998</v>
      </c>
      <c r="BZ12" s="27">
        <f t="shared" si="0"/>
        <v>0.60799999999999998</v>
      </c>
      <c r="CA12" s="27">
        <f t="shared" si="0"/>
        <v>0.60799999999999998</v>
      </c>
      <c r="CB12" s="27">
        <f t="shared" si="0"/>
        <v>0.60799999999999998</v>
      </c>
      <c r="CC12" s="27">
        <f t="shared" si="0"/>
        <v>0.60799999999999998</v>
      </c>
      <c r="CD12" s="27">
        <f t="shared" si="0"/>
        <v>0.60799999999999998</v>
      </c>
      <c r="CE12" s="27">
        <f t="shared" ref="CE12:CT12" si="1">1-$D$5</f>
        <v>0.60799999999999998</v>
      </c>
      <c r="CF12" s="27">
        <f t="shared" si="1"/>
        <v>0.60799999999999998</v>
      </c>
      <c r="CG12" s="27">
        <f t="shared" si="1"/>
        <v>0.60799999999999998</v>
      </c>
      <c r="CH12" s="27">
        <f t="shared" si="1"/>
        <v>0.60799999999999998</v>
      </c>
      <c r="CI12" s="27">
        <f t="shared" si="1"/>
        <v>0.60799999999999998</v>
      </c>
      <c r="CJ12" s="27">
        <f t="shared" si="1"/>
        <v>0.60799999999999998</v>
      </c>
      <c r="CK12" s="27">
        <f t="shared" si="1"/>
        <v>0.60799999999999998</v>
      </c>
      <c r="CL12" s="27">
        <f t="shared" si="1"/>
        <v>0.60799999999999998</v>
      </c>
      <c r="CM12" s="27">
        <f t="shared" si="1"/>
        <v>0.60799999999999998</v>
      </c>
      <c r="CN12" s="27">
        <f t="shared" si="1"/>
        <v>0.60799999999999998</v>
      </c>
      <c r="CO12" s="27">
        <f t="shared" si="1"/>
        <v>0.60799999999999998</v>
      </c>
      <c r="CP12" s="27">
        <f t="shared" si="1"/>
        <v>0.60799999999999998</v>
      </c>
      <c r="CQ12" s="27">
        <f t="shared" si="1"/>
        <v>0.60799999999999998</v>
      </c>
      <c r="CR12" s="27">
        <f t="shared" si="1"/>
        <v>0.60799999999999998</v>
      </c>
      <c r="CS12" s="27">
        <f t="shared" si="1"/>
        <v>0.60799999999999998</v>
      </c>
      <c r="CT12" s="31">
        <f t="shared" si="1"/>
        <v>0.60799999999999998</v>
      </c>
      <c r="CV12" s="145"/>
      <c r="CW12" s="148"/>
      <c r="CX12" s="161"/>
      <c r="CY12" s="164"/>
    </row>
    <row r="13" spans="2:103" ht="15.75" thickBot="1" x14ac:dyDescent="0.3">
      <c r="B13" s="82" t="s">
        <v>22</v>
      </c>
      <c r="C13" s="15">
        <f>C38</f>
        <v>300000000</v>
      </c>
      <c r="D13" s="15">
        <f>D38</f>
        <v>300000000</v>
      </c>
      <c r="E13" s="16">
        <f>E38</f>
        <v>300000000</v>
      </c>
      <c r="F13" s="16">
        <f>F38</f>
        <v>300000000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55" t="s">
        <v>40</v>
      </c>
      <c r="R13" s="46">
        <f t="shared" ref="R13:AW13" si="2">(1+$D$4)^(-1*R$11)</f>
        <v>1</v>
      </c>
      <c r="S13" s="32">
        <f t="shared" si="2"/>
        <v>0.95238095238095233</v>
      </c>
      <c r="T13" s="32">
        <f t="shared" si="2"/>
        <v>0.90702947845804982</v>
      </c>
      <c r="U13" s="32">
        <f t="shared" si="2"/>
        <v>0.86383759853147601</v>
      </c>
      <c r="V13" s="32">
        <f t="shared" si="2"/>
        <v>0.82270247479188197</v>
      </c>
      <c r="W13" s="32">
        <f t="shared" si="2"/>
        <v>0.78352616646845896</v>
      </c>
      <c r="X13" s="32">
        <f t="shared" si="2"/>
        <v>0.74621539663662761</v>
      </c>
      <c r="Y13" s="32">
        <f t="shared" si="2"/>
        <v>0.71068133013012147</v>
      </c>
      <c r="Z13" s="32">
        <f t="shared" si="2"/>
        <v>0.67683936202868722</v>
      </c>
      <c r="AA13" s="32">
        <f t="shared" si="2"/>
        <v>0.64460891621779726</v>
      </c>
      <c r="AB13" s="32">
        <f t="shared" si="2"/>
        <v>0.61391325354075932</v>
      </c>
      <c r="AC13" s="32">
        <f t="shared" si="2"/>
        <v>0.5846792890864374</v>
      </c>
      <c r="AD13" s="32">
        <f t="shared" si="2"/>
        <v>0.5568374181775595</v>
      </c>
      <c r="AE13" s="32">
        <f t="shared" si="2"/>
        <v>0.53032135064529462</v>
      </c>
      <c r="AF13" s="32">
        <f t="shared" si="2"/>
        <v>0.50506795299551888</v>
      </c>
      <c r="AG13" s="32">
        <f t="shared" si="2"/>
        <v>0.48101709809097021</v>
      </c>
      <c r="AH13" s="32">
        <f t="shared" si="2"/>
        <v>0.45811152199140021</v>
      </c>
      <c r="AI13" s="32">
        <f t="shared" si="2"/>
        <v>0.43629668761085727</v>
      </c>
      <c r="AJ13" s="32">
        <f t="shared" si="2"/>
        <v>0.41552065486748313</v>
      </c>
      <c r="AK13" s="32">
        <f t="shared" si="2"/>
        <v>0.39573395701665059</v>
      </c>
      <c r="AL13" s="32">
        <f t="shared" si="2"/>
        <v>0.37688948287300061</v>
      </c>
      <c r="AM13" s="32">
        <f t="shared" si="2"/>
        <v>0.35894236464095297</v>
      </c>
      <c r="AN13" s="32">
        <f t="shared" si="2"/>
        <v>0.3418498710866219</v>
      </c>
      <c r="AO13" s="32">
        <f t="shared" si="2"/>
        <v>0.32557130579678267</v>
      </c>
      <c r="AP13" s="32">
        <f t="shared" si="2"/>
        <v>0.31006791028265024</v>
      </c>
      <c r="AQ13" s="32">
        <f t="shared" si="2"/>
        <v>0.29530277169776209</v>
      </c>
      <c r="AR13" s="32">
        <f t="shared" si="2"/>
        <v>0.28124073495024959</v>
      </c>
      <c r="AS13" s="32">
        <f t="shared" si="2"/>
        <v>0.2678483190002377</v>
      </c>
      <c r="AT13" s="32">
        <f t="shared" si="2"/>
        <v>0.25509363714308358</v>
      </c>
      <c r="AU13" s="32">
        <f t="shared" si="2"/>
        <v>0.24294632108865097</v>
      </c>
      <c r="AV13" s="32">
        <f t="shared" si="2"/>
        <v>0.23137744865585813</v>
      </c>
      <c r="AW13" s="32">
        <f t="shared" si="2"/>
        <v>0.220359474910341</v>
      </c>
      <c r="AX13" s="32">
        <f t="shared" ref="AX13:CC13" si="3">(1+$D$4)^(-1*AX$11)</f>
        <v>0.20986616658127716</v>
      </c>
      <c r="AY13" s="32">
        <f t="shared" si="3"/>
        <v>0.19987253960121634</v>
      </c>
      <c r="AZ13" s="32">
        <f t="shared" si="3"/>
        <v>0.19035479962020604</v>
      </c>
      <c r="BA13" s="32">
        <f t="shared" si="3"/>
        <v>0.18129028535257716</v>
      </c>
      <c r="BB13" s="32">
        <f t="shared" si="3"/>
        <v>0.17265741462150208</v>
      </c>
      <c r="BC13" s="32">
        <f t="shared" si="3"/>
        <v>0.1644356329728591</v>
      </c>
      <c r="BD13" s="32">
        <f t="shared" si="3"/>
        <v>0.15660536473605632</v>
      </c>
      <c r="BE13" s="32">
        <f t="shared" si="3"/>
        <v>0.14914796641529171</v>
      </c>
      <c r="BF13" s="32">
        <f t="shared" si="3"/>
        <v>0.14204568230027784</v>
      </c>
      <c r="BG13" s="32">
        <f t="shared" si="3"/>
        <v>0.13528160219074079</v>
      </c>
      <c r="BH13" s="32">
        <f t="shared" si="3"/>
        <v>0.12883962113403885</v>
      </c>
      <c r="BI13" s="32">
        <f t="shared" si="3"/>
        <v>0.12270440108003698</v>
      </c>
      <c r="BJ13" s="32">
        <f t="shared" si="3"/>
        <v>0.11686133436193999</v>
      </c>
      <c r="BK13" s="32">
        <f t="shared" si="3"/>
        <v>0.1112965089161333</v>
      </c>
      <c r="BL13" s="32">
        <f t="shared" si="3"/>
        <v>0.10599667515822221</v>
      </c>
      <c r="BM13" s="32">
        <f t="shared" si="3"/>
        <v>0.10094921443640208</v>
      </c>
      <c r="BN13" s="32">
        <f t="shared" si="3"/>
        <v>9.6142108987049613E-2</v>
      </c>
      <c r="BO13" s="32">
        <f t="shared" si="3"/>
        <v>9.1563913320999626E-2</v>
      </c>
      <c r="BP13" s="32">
        <f t="shared" si="3"/>
        <v>8.7203726972380588E-2</v>
      </c>
      <c r="BQ13" s="32">
        <f t="shared" si="3"/>
        <v>8.3051168545124371E-2</v>
      </c>
      <c r="BR13" s="32">
        <f t="shared" si="3"/>
        <v>7.9096350995356543E-2</v>
      </c>
      <c r="BS13" s="32">
        <f t="shared" si="3"/>
        <v>7.5329858090815757E-2</v>
      </c>
      <c r="BT13" s="32">
        <f t="shared" si="3"/>
        <v>7.1742721991253117E-2</v>
      </c>
      <c r="BU13" s="32">
        <f t="shared" si="3"/>
        <v>6.8326401896431521E-2</v>
      </c>
      <c r="BV13" s="32">
        <f t="shared" si="3"/>
        <v>6.5072763710887174E-2</v>
      </c>
      <c r="BW13" s="32">
        <f t="shared" si="3"/>
        <v>6.1974060677035397E-2</v>
      </c>
      <c r="BX13" s="32">
        <f t="shared" si="3"/>
        <v>5.9022914930509894E-2</v>
      </c>
      <c r="BY13" s="32">
        <f t="shared" si="3"/>
        <v>5.6212299933818946E-2</v>
      </c>
      <c r="BZ13" s="32">
        <f t="shared" si="3"/>
        <v>5.3535523746494243E-2</v>
      </c>
      <c r="CA13" s="32">
        <f t="shared" si="3"/>
        <v>5.0986213091899268E-2</v>
      </c>
      <c r="CB13" s="32">
        <f t="shared" si="3"/>
        <v>4.855829818276123E-2</v>
      </c>
      <c r="CC13" s="32">
        <f t="shared" si="3"/>
        <v>4.6245998269296387E-2</v>
      </c>
      <c r="CD13" s="32">
        <f t="shared" ref="CD13:CT13" si="4">(1+$D$4)^(-1*CD$11)</f>
        <v>4.4043807875520369E-2</v>
      </c>
      <c r="CE13" s="32">
        <f t="shared" si="4"/>
        <v>4.1946483690971779E-2</v>
      </c>
      <c r="CF13" s="32">
        <f t="shared" si="4"/>
        <v>3.9949032086639788E-2</v>
      </c>
      <c r="CG13" s="32">
        <f t="shared" si="4"/>
        <v>3.8046697225371226E-2</v>
      </c>
      <c r="CH13" s="32">
        <f t="shared" si="4"/>
        <v>3.6234949738448791E-2</v>
      </c>
      <c r="CI13" s="32">
        <f t="shared" si="4"/>
        <v>3.4509475941379798E-2</v>
      </c>
      <c r="CJ13" s="32">
        <f t="shared" si="4"/>
        <v>3.2866167563218862E-2</v>
      </c>
      <c r="CK13" s="32">
        <f t="shared" si="4"/>
        <v>3.1301111964970339E-2</v>
      </c>
      <c r="CL13" s="32">
        <f t="shared" si="4"/>
        <v>2.9810582823781274E-2</v>
      </c>
      <c r="CM13" s="32">
        <f t="shared" si="4"/>
        <v>2.8391031260744073E-2</v>
      </c>
      <c r="CN13" s="32">
        <f t="shared" si="4"/>
        <v>2.7039077391184833E-2</v>
      </c>
      <c r="CO13" s="32">
        <f t="shared" si="4"/>
        <v>2.5751502277318886E-2</v>
      </c>
      <c r="CP13" s="32">
        <f t="shared" si="4"/>
        <v>2.4525240264113228E-2</v>
      </c>
      <c r="CQ13" s="32">
        <f t="shared" si="4"/>
        <v>2.3357371680107829E-2</v>
      </c>
      <c r="CR13" s="32">
        <f t="shared" si="4"/>
        <v>2.2245115885816989E-2</v>
      </c>
      <c r="CS13" s="32">
        <f t="shared" si="4"/>
        <v>2.1185824653159029E-2</v>
      </c>
      <c r="CT13" s="33">
        <f t="shared" si="4"/>
        <v>2.0176975860151457E-2</v>
      </c>
      <c r="CV13" s="146"/>
      <c r="CW13" s="149"/>
      <c r="CX13" s="162"/>
      <c r="CY13" s="165"/>
    </row>
    <row r="14" spans="2:103" ht="15.75" thickBot="1" x14ac:dyDescent="0.3">
      <c r="B14" s="82" t="s">
        <v>13</v>
      </c>
      <c r="C14" s="15">
        <v>1100000000</v>
      </c>
      <c r="D14" s="15">
        <v>1100000000</v>
      </c>
      <c r="E14" s="16">
        <v>1100000000</v>
      </c>
      <c r="F14" s="16">
        <v>1100000000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V14" s="1"/>
      <c r="CW14" s="1"/>
      <c r="CX14" s="1"/>
    </row>
    <row r="15" spans="2:103" ht="15" customHeight="1" x14ac:dyDescent="0.25">
      <c r="B15" s="82" t="s">
        <v>14</v>
      </c>
      <c r="C15" s="9">
        <v>0.64</v>
      </c>
      <c r="D15" s="98">
        <v>1</v>
      </c>
      <c r="E15" s="99">
        <v>1</v>
      </c>
      <c r="F15" s="99">
        <v>1</v>
      </c>
      <c r="G15" s="1"/>
      <c r="H15" s="1"/>
      <c r="I15" s="1"/>
      <c r="J15" s="1"/>
      <c r="K15" s="90" t="s">
        <v>60</v>
      </c>
      <c r="L15" s="87">
        <v>60</v>
      </c>
      <c r="M15" s="1"/>
      <c r="N15" s="156" t="s">
        <v>37</v>
      </c>
      <c r="O15" s="153" t="s">
        <v>51</v>
      </c>
      <c r="P15" s="121" t="s">
        <v>54</v>
      </c>
      <c r="Q15" s="56" t="s">
        <v>45</v>
      </c>
      <c r="R15" s="100">
        <v>1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34">
        <v>0</v>
      </c>
      <c r="AU15" s="34">
        <v>0</v>
      </c>
      <c r="AV15" s="34">
        <v>0</v>
      </c>
      <c r="AW15" s="34">
        <v>0</v>
      </c>
      <c r="AX15" s="34">
        <v>0</v>
      </c>
      <c r="AY15" s="34">
        <v>0</v>
      </c>
      <c r="AZ15" s="34">
        <v>0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0</v>
      </c>
      <c r="BT15" s="34">
        <v>0</v>
      </c>
      <c r="BU15" s="34">
        <v>0</v>
      </c>
      <c r="BV15" s="34">
        <v>0</v>
      </c>
      <c r="BW15" s="34">
        <v>0</v>
      </c>
      <c r="BX15" s="34">
        <v>0</v>
      </c>
      <c r="BY15" s="34">
        <v>0</v>
      </c>
      <c r="BZ15" s="74">
        <v>1</v>
      </c>
      <c r="CA15" s="34">
        <v>0</v>
      </c>
      <c r="CB15" s="34">
        <v>0</v>
      </c>
      <c r="CC15" s="34">
        <v>0</v>
      </c>
      <c r="CD15" s="34">
        <v>0</v>
      </c>
      <c r="CE15" s="34">
        <v>0</v>
      </c>
      <c r="CF15" s="34">
        <v>0</v>
      </c>
      <c r="CG15" s="34">
        <v>0</v>
      </c>
      <c r="CH15" s="34">
        <v>0</v>
      </c>
      <c r="CI15" s="34">
        <v>0</v>
      </c>
      <c r="CJ15" s="34">
        <v>0</v>
      </c>
      <c r="CK15" s="34">
        <v>0</v>
      </c>
      <c r="CL15" s="34">
        <v>0</v>
      </c>
      <c r="CM15" s="34">
        <v>0</v>
      </c>
      <c r="CN15" s="34">
        <v>0</v>
      </c>
      <c r="CO15" s="34">
        <v>0</v>
      </c>
      <c r="CP15" s="34">
        <v>0</v>
      </c>
      <c r="CQ15" s="34">
        <v>0</v>
      </c>
      <c r="CR15" s="34">
        <v>0</v>
      </c>
      <c r="CS15" s="34">
        <v>0</v>
      </c>
      <c r="CT15" s="35">
        <v>0</v>
      </c>
      <c r="CV15" s="1"/>
      <c r="CW15" s="1"/>
      <c r="CX15" s="1"/>
    </row>
    <row r="16" spans="2:103" ht="15.75" thickBot="1" x14ac:dyDescent="0.3">
      <c r="B16" s="82" t="s">
        <v>15</v>
      </c>
      <c r="C16" s="9">
        <v>15</v>
      </c>
      <c r="D16" s="98" t="s">
        <v>11</v>
      </c>
      <c r="E16" s="99" t="s">
        <v>11</v>
      </c>
      <c r="F16" s="99" t="s">
        <v>11</v>
      </c>
      <c r="G16" s="1"/>
      <c r="H16" s="1"/>
      <c r="I16" s="1"/>
      <c r="J16" s="1"/>
      <c r="K16" s="91" t="s">
        <v>61</v>
      </c>
      <c r="L16" s="88">
        <v>0</v>
      </c>
      <c r="M16" s="1"/>
      <c r="N16" s="157"/>
      <c r="O16" s="154"/>
      <c r="P16" s="122"/>
      <c r="Q16" s="57" t="s">
        <v>46</v>
      </c>
      <c r="R16" s="45">
        <v>0</v>
      </c>
      <c r="S16" s="73">
        <v>1</v>
      </c>
      <c r="T16" s="68">
        <v>1</v>
      </c>
      <c r="U16" s="68">
        <v>1</v>
      </c>
      <c r="V16" s="68">
        <v>1</v>
      </c>
      <c r="W16" s="68">
        <v>1</v>
      </c>
      <c r="X16" s="68">
        <v>1</v>
      </c>
      <c r="Y16" s="68">
        <v>1</v>
      </c>
      <c r="Z16" s="68">
        <v>1</v>
      </c>
      <c r="AA16" s="68">
        <v>1</v>
      </c>
      <c r="AB16" s="68">
        <v>1</v>
      </c>
      <c r="AC16" s="68">
        <v>1</v>
      </c>
      <c r="AD16" s="68">
        <v>1</v>
      </c>
      <c r="AE16" s="68">
        <v>1</v>
      </c>
      <c r="AF16" s="68">
        <v>1</v>
      </c>
      <c r="AG16" s="68">
        <v>1</v>
      </c>
      <c r="AH16" s="68">
        <v>1</v>
      </c>
      <c r="AI16" s="68">
        <v>1</v>
      </c>
      <c r="AJ16" s="68">
        <v>1</v>
      </c>
      <c r="AK16" s="68">
        <v>1</v>
      </c>
      <c r="AL16" s="68">
        <v>1</v>
      </c>
      <c r="AM16" s="68">
        <v>1</v>
      </c>
      <c r="AN16" s="68">
        <v>1</v>
      </c>
      <c r="AO16" s="68">
        <v>1</v>
      </c>
      <c r="AP16" s="68">
        <v>1</v>
      </c>
      <c r="AQ16" s="68">
        <v>1</v>
      </c>
      <c r="AR16" s="68">
        <v>1</v>
      </c>
      <c r="AS16" s="68">
        <v>1</v>
      </c>
      <c r="AT16" s="68">
        <v>1</v>
      </c>
      <c r="AU16" s="68">
        <v>1</v>
      </c>
      <c r="AV16" s="68">
        <v>1</v>
      </c>
      <c r="AW16" s="68">
        <v>1</v>
      </c>
      <c r="AX16" s="68">
        <v>1</v>
      </c>
      <c r="AY16" s="68">
        <v>1</v>
      </c>
      <c r="AZ16" s="68">
        <v>1</v>
      </c>
      <c r="BA16" s="68">
        <v>1</v>
      </c>
      <c r="BB16" s="68">
        <v>1</v>
      </c>
      <c r="BC16" s="68">
        <v>1</v>
      </c>
      <c r="BD16" s="68">
        <v>1</v>
      </c>
      <c r="BE16" s="68">
        <v>1</v>
      </c>
      <c r="BF16" s="68">
        <v>1</v>
      </c>
      <c r="BG16" s="68">
        <v>1</v>
      </c>
      <c r="BH16" s="68">
        <v>1</v>
      </c>
      <c r="BI16" s="68">
        <v>1</v>
      </c>
      <c r="BJ16" s="68">
        <v>1</v>
      </c>
      <c r="BK16" s="68">
        <v>1</v>
      </c>
      <c r="BL16" s="68">
        <v>1</v>
      </c>
      <c r="BM16" s="68">
        <v>1</v>
      </c>
      <c r="BN16" s="68">
        <v>1</v>
      </c>
      <c r="BO16" s="68">
        <v>1</v>
      </c>
      <c r="BP16" s="68">
        <v>1</v>
      </c>
      <c r="BQ16" s="68">
        <v>1</v>
      </c>
      <c r="BR16" s="68">
        <v>1</v>
      </c>
      <c r="BS16" s="68">
        <v>1</v>
      </c>
      <c r="BT16" s="68">
        <v>1</v>
      </c>
      <c r="BU16" s="68">
        <v>1</v>
      </c>
      <c r="BV16" s="68">
        <v>1</v>
      </c>
      <c r="BW16" s="68">
        <v>1</v>
      </c>
      <c r="BX16" s="68">
        <v>1</v>
      </c>
      <c r="BY16" s="68">
        <v>1</v>
      </c>
      <c r="BZ16" s="68">
        <v>1</v>
      </c>
      <c r="CA16" s="73">
        <v>1</v>
      </c>
      <c r="CB16" s="68">
        <v>1</v>
      </c>
      <c r="CC16" s="68">
        <v>1</v>
      </c>
      <c r="CD16" s="68">
        <v>1</v>
      </c>
      <c r="CE16" s="68">
        <v>1</v>
      </c>
      <c r="CF16" s="68">
        <v>1</v>
      </c>
      <c r="CG16" s="68">
        <v>1</v>
      </c>
      <c r="CH16" s="68">
        <v>1</v>
      </c>
      <c r="CI16" s="68">
        <v>1</v>
      </c>
      <c r="CJ16" s="68">
        <v>1</v>
      </c>
      <c r="CK16" s="68">
        <v>1</v>
      </c>
      <c r="CL16" s="68">
        <v>1</v>
      </c>
      <c r="CM16" s="68">
        <v>1</v>
      </c>
      <c r="CN16" s="68">
        <v>1</v>
      </c>
      <c r="CO16" s="68">
        <v>1</v>
      </c>
      <c r="CP16" s="68">
        <v>1</v>
      </c>
      <c r="CQ16" s="68">
        <v>1</v>
      </c>
      <c r="CR16" s="68">
        <v>1</v>
      </c>
      <c r="CS16" s="68">
        <v>1</v>
      </c>
      <c r="CT16" s="69">
        <v>1</v>
      </c>
      <c r="CV16" s="1"/>
      <c r="CW16" s="1"/>
      <c r="CX16" s="1"/>
    </row>
    <row r="17" spans="2:103" ht="15.75" thickBot="1" x14ac:dyDescent="0.3">
      <c r="B17" s="82" t="s">
        <v>16</v>
      </c>
      <c r="C17" s="9" t="s">
        <v>11</v>
      </c>
      <c r="D17" s="9" t="s">
        <v>11</v>
      </c>
      <c r="E17" s="10" t="s">
        <v>11</v>
      </c>
      <c r="F17" s="10" t="s">
        <v>11</v>
      </c>
      <c r="G17" s="1"/>
      <c r="H17" s="1"/>
      <c r="I17" s="1"/>
      <c r="J17" s="1"/>
      <c r="K17" s="92" t="s">
        <v>62</v>
      </c>
      <c r="L17" s="89" t="s">
        <v>11</v>
      </c>
      <c r="M17" s="1"/>
      <c r="N17" s="157"/>
      <c r="O17" s="154"/>
      <c r="P17" s="122"/>
      <c r="Q17" s="58" t="s">
        <v>41</v>
      </c>
      <c r="R17" s="47">
        <f>$D$12*$D$13/$D$14*R15*R$13</f>
        <v>-1230000000</v>
      </c>
      <c r="S17" s="25">
        <f t="shared" ref="S17:CD17" si="5">$D$12*$D$13/$D$14*S15*S13</f>
        <v>0</v>
      </c>
      <c r="T17" s="25">
        <f t="shared" si="5"/>
        <v>0</v>
      </c>
      <c r="U17" s="25">
        <f t="shared" si="5"/>
        <v>0</v>
      </c>
      <c r="V17" s="25">
        <f t="shared" si="5"/>
        <v>0</v>
      </c>
      <c r="W17" s="25">
        <f t="shared" si="5"/>
        <v>0</v>
      </c>
      <c r="X17" s="25">
        <f t="shared" si="5"/>
        <v>0</v>
      </c>
      <c r="Y17" s="25">
        <f t="shared" si="5"/>
        <v>0</v>
      </c>
      <c r="Z17" s="25">
        <f t="shared" si="5"/>
        <v>0</v>
      </c>
      <c r="AA17" s="25">
        <f t="shared" si="5"/>
        <v>0</v>
      </c>
      <c r="AB17" s="25">
        <f t="shared" si="5"/>
        <v>0</v>
      </c>
      <c r="AC17" s="25">
        <f t="shared" si="5"/>
        <v>0</v>
      </c>
      <c r="AD17" s="25">
        <f t="shared" si="5"/>
        <v>0</v>
      </c>
      <c r="AE17" s="25">
        <f t="shared" si="5"/>
        <v>0</v>
      </c>
      <c r="AF17" s="25">
        <f t="shared" si="5"/>
        <v>0</v>
      </c>
      <c r="AG17" s="25">
        <f t="shared" si="5"/>
        <v>0</v>
      </c>
      <c r="AH17" s="25">
        <f t="shared" si="5"/>
        <v>0</v>
      </c>
      <c r="AI17" s="25">
        <f t="shared" si="5"/>
        <v>0</v>
      </c>
      <c r="AJ17" s="25">
        <f t="shared" si="5"/>
        <v>0</v>
      </c>
      <c r="AK17" s="25">
        <f t="shared" si="5"/>
        <v>0</v>
      </c>
      <c r="AL17" s="25">
        <f t="shared" si="5"/>
        <v>0</v>
      </c>
      <c r="AM17" s="25">
        <f t="shared" si="5"/>
        <v>0</v>
      </c>
      <c r="AN17" s="25">
        <f t="shared" si="5"/>
        <v>0</v>
      </c>
      <c r="AO17" s="25">
        <f t="shared" si="5"/>
        <v>0</v>
      </c>
      <c r="AP17" s="25">
        <f t="shared" si="5"/>
        <v>0</v>
      </c>
      <c r="AQ17" s="25">
        <f t="shared" si="5"/>
        <v>0</v>
      </c>
      <c r="AR17" s="25">
        <f t="shared" si="5"/>
        <v>0</v>
      </c>
      <c r="AS17" s="25">
        <f t="shared" si="5"/>
        <v>0</v>
      </c>
      <c r="AT17" s="25">
        <f t="shared" si="5"/>
        <v>0</v>
      </c>
      <c r="AU17" s="25">
        <f t="shared" si="5"/>
        <v>0</v>
      </c>
      <c r="AV17" s="25">
        <f t="shared" si="5"/>
        <v>0</v>
      </c>
      <c r="AW17" s="25">
        <f t="shared" si="5"/>
        <v>0</v>
      </c>
      <c r="AX17" s="25">
        <f t="shared" si="5"/>
        <v>0</v>
      </c>
      <c r="AY17" s="25">
        <f t="shared" si="5"/>
        <v>0</v>
      </c>
      <c r="AZ17" s="25">
        <f t="shared" si="5"/>
        <v>0</v>
      </c>
      <c r="BA17" s="25">
        <f t="shared" si="5"/>
        <v>0</v>
      </c>
      <c r="BB17" s="25">
        <f t="shared" si="5"/>
        <v>0</v>
      </c>
      <c r="BC17" s="25">
        <f t="shared" si="5"/>
        <v>0</v>
      </c>
      <c r="BD17" s="25">
        <f t="shared" si="5"/>
        <v>0</v>
      </c>
      <c r="BE17" s="25">
        <f t="shared" si="5"/>
        <v>0</v>
      </c>
      <c r="BF17" s="25">
        <f t="shared" si="5"/>
        <v>0</v>
      </c>
      <c r="BG17" s="25">
        <f t="shared" si="5"/>
        <v>0</v>
      </c>
      <c r="BH17" s="25">
        <f t="shared" si="5"/>
        <v>0</v>
      </c>
      <c r="BI17" s="25">
        <f t="shared" si="5"/>
        <v>0</v>
      </c>
      <c r="BJ17" s="25">
        <f t="shared" si="5"/>
        <v>0</v>
      </c>
      <c r="BK17" s="25">
        <f t="shared" si="5"/>
        <v>0</v>
      </c>
      <c r="BL17" s="25">
        <f t="shared" si="5"/>
        <v>0</v>
      </c>
      <c r="BM17" s="25">
        <f t="shared" si="5"/>
        <v>0</v>
      </c>
      <c r="BN17" s="25">
        <f t="shared" si="5"/>
        <v>0</v>
      </c>
      <c r="BO17" s="25">
        <f t="shared" si="5"/>
        <v>0</v>
      </c>
      <c r="BP17" s="25">
        <f t="shared" si="5"/>
        <v>0</v>
      </c>
      <c r="BQ17" s="25">
        <f t="shared" si="5"/>
        <v>0</v>
      </c>
      <c r="BR17" s="25">
        <f t="shared" si="5"/>
        <v>0</v>
      </c>
      <c r="BS17" s="25">
        <f t="shared" si="5"/>
        <v>0</v>
      </c>
      <c r="BT17" s="25">
        <f t="shared" si="5"/>
        <v>0</v>
      </c>
      <c r="BU17" s="25">
        <f t="shared" si="5"/>
        <v>0</v>
      </c>
      <c r="BV17" s="25">
        <f t="shared" si="5"/>
        <v>0</v>
      </c>
      <c r="BW17" s="25">
        <f t="shared" si="5"/>
        <v>0</v>
      </c>
      <c r="BX17" s="25">
        <f t="shared" si="5"/>
        <v>0</v>
      </c>
      <c r="BY17" s="25">
        <f t="shared" si="5"/>
        <v>0</v>
      </c>
      <c r="BZ17" s="25">
        <f t="shared" si="5"/>
        <v>-65848694.208187915</v>
      </c>
      <c r="CA17" s="25">
        <f t="shared" si="5"/>
        <v>0</v>
      </c>
      <c r="CB17" s="25">
        <f t="shared" si="5"/>
        <v>0</v>
      </c>
      <c r="CC17" s="25">
        <f t="shared" si="5"/>
        <v>0</v>
      </c>
      <c r="CD17" s="25">
        <f t="shared" si="5"/>
        <v>0</v>
      </c>
      <c r="CE17" s="25">
        <f t="shared" ref="CE17:CT17" si="6">$D$12*$D$13/$D$14*CE15*CE13</f>
        <v>0</v>
      </c>
      <c r="CF17" s="25">
        <f t="shared" si="6"/>
        <v>0</v>
      </c>
      <c r="CG17" s="25">
        <f t="shared" si="6"/>
        <v>0</v>
      </c>
      <c r="CH17" s="25">
        <f t="shared" si="6"/>
        <v>0</v>
      </c>
      <c r="CI17" s="25">
        <f t="shared" si="6"/>
        <v>0</v>
      </c>
      <c r="CJ17" s="25">
        <f t="shared" si="6"/>
        <v>0</v>
      </c>
      <c r="CK17" s="25">
        <f t="shared" si="6"/>
        <v>0</v>
      </c>
      <c r="CL17" s="25">
        <f t="shared" si="6"/>
        <v>0</v>
      </c>
      <c r="CM17" s="25">
        <f t="shared" si="6"/>
        <v>0</v>
      </c>
      <c r="CN17" s="25">
        <f t="shared" si="6"/>
        <v>0</v>
      </c>
      <c r="CO17" s="25">
        <f t="shared" si="6"/>
        <v>0</v>
      </c>
      <c r="CP17" s="25">
        <f t="shared" si="6"/>
        <v>0</v>
      </c>
      <c r="CQ17" s="25">
        <f t="shared" si="6"/>
        <v>0</v>
      </c>
      <c r="CR17" s="25">
        <f t="shared" si="6"/>
        <v>0</v>
      </c>
      <c r="CS17" s="25">
        <f t="shared" si="6"/>
        <v>0</v>
      </c>
      <c r="CT17" s="36">
        <f t="shared" si="6"/>
        <v>0</v>
      </c>
      <c r="CV17" s="101">
        <f>SUM(R17:CT17)</f>
        <v>-1295848694.2081878</v>
      </c>
      <c r="CW17" s="131">
        <f>SUM(CV17:CV18)</f>
        <v>2874278096.5310049</v>
      </c>
      <c r="CX17" s="166">
        <f>SUM(CW17,CW21)</f>
        <v>3032241901.5805931</v>
      </c>
      <c r="CY17" s="136">
        <f>ABS(CX17-D43)</f>
        <v>5.931854248046875E-4</v>
      </c>
    </row>
    <row r="18" spans="2:103" ht="15.75" thickBot="1" x14ac:dyDescent="0.3">
      <c r="B18" s="82" t="s">
        <v>17</v>
      </c>
      <c r="C18" s="9" t="b">
        <v>0</v>
      </c>
      <c r="D18" s="9" t="b">
        <v>0</v>
      </c>
      <c r="E18" s="10" t="b">
        <v>0</v>
      </c>
      <c r="F18" s="10" t="b">
        <v>0</v>
      </c>
      <c r="G18" s="1"/>
      <c r="H18" s="1"/>
      <c r="I18" s="1"/>
      <c r="J18" s="1"/>
      <c r="K18" s="24"/>
      <c r="L18" s="1"/>
      <c r="M18" s="1"/>
      <c r="N18" s="157"/>
      <c r="O18" s="154"/>
      <c r="P18" s="123"/>
      <c r="Q18" s="59" t="s">
        <v>42</v>
      </c>
      <c r="R18" s="48">
        <f>$D$19*$D$20*R16*R$12*R$13</f>
        <v>0</v>
      </c>
      <c r="S18" s="37">
        <f t="shared" ref="S18:CD18" si="7">$D$19*$D$20*S16*S12*S13</f>
        <v>202666666.66666666</v>
      </c>
      <c r="T18" s="37">
        <f t="shared" si="7"/>
        <v>193015873.01587301</v>
      </c>
      <c r="U18" s="37">
        <f t="shared" si="7"/>
        <v>183824640.96749809</v>
      </c>
      <c r="V18" s="37">
        <f t="shared" si="7"/>
        <v>175071086.63571247</v>
      </c>
      <c r="W18" s="37">
        <f t="shared" si="7"/>
        <v>166734368.22448808</v>
      </c>
      <c r="X18" s="37">
        <f t="shared" si="7"/>
        <v>158794636.40427434</v>
      </c>
      <c r="Y18" s="37">
        <f t="shared" si="7"/>
        <v>151232987.05168986</v>
      </c>
      <c r="Z18" s="37">
        <f t="shared" si="7"/>
        <v>144031416.23970464</v>
      </c>
      <c r="AA18" s="37">
        <f t="shared" si="7"/>
        <v>137172777.37114725</v>
      </c>
      <c r="AB18" s="37">
        <f t="shared" si="7"/>
        <v>130640740.35347359</v>
      </c>
      <c r="AC18" s="37">
        <f t="shared" si="7"/>
        <v>124419752.71759388</v>
      </c>
      <c r="AD18" s="37">
        <f t="shared" si="7"/>
        <v>118495002.58818465</v>
      </c>
      <c r="AE18" s="37">
        <f t="shared" si="7"/>
        <v>112852383.4173187</v>
      </c>
      <c r="AF18" s="37">
        <f t="shared" si="7"/>
        <v>107478460.39744642</v>
      </c>
      <c r="AG18" s="37">
        <f t="shared" si="7"/>
        <v>102360438.47375846</v>
      </c>
      <c r="AH18" s="37">
        <f t="shared" si="7"/>
        <v>97486131.879769966</v>
      </c>
      <c r="AI18" s="37">
        <f t="shared" si="7"/>
        <v>92843935.123590425</v>
      </c>
      <c r="AJ18" s="37">
        <f t="shared" si="7"/>
        <v>88422795.355800405</v>
      </c>
      <c r="AK18" s="37">
        <f t="shared" si="7"/>
        <v>84212186.053143248</v>
      </c>
      <c r="AL18" s="37">
        <f t="shared" si="7"/>
        <v>80202081.955374524</v>
      </c>
      <c r="AM18" s="37">
        <f t="shared" si="7"/>
        <v>76382935.195594788</v>
      </c>
      <c r="AN18" s="37">
        <f t="shared" si="7"/>
        <v>72745652.567233145</v>
      </c>
      <c r="AO18" s="37">
        <f t="shared" si="7"/>
        <v>69281573.873555347</v>
      </c>
      <c r="AP18" s="37">
        <f t="shared" si="7"/>
        <v>65982451.308147974</v>
      </c>
      <c r="AQ18" s="37">
        <f t="shared" si="7"/>
        <v>62840429.817283772</v>
      </c>
      <c r="AR18" s="37">
        <f t="shared" si="7"/>
        <v>59848028.397413112</v>
      </c>
      <c r="AS18" s="37">
        <f t="shared" si="7"/>
        <v>56998122.283250585</v>
      </c>
      <c r="AT18" s="37">
        <f t="shared" si="7"/>
        <v>54283925.984048188</v>
      </c>
      <c r="AU18" s="37">
        <f t="shared" si="7"/>
        <v>51698977.127664924</v>
      </c>
      <c r="AV18" s="37">
        <f t="shared" si="7"/>
        <v>49237121.073966607</v>
      </c>
      <c r="AW18" s="37">
        <f t="shared" si="7"/>
        <v>46892496.260920562</v>
      </c>
      <c r="AX18" s="37">
        <f t="shared" si="7"/>
        <v>44659520.24849578</v>
      </c>
      <c r="AY18" s="37">
        <f t="shared" si="7"/>
        <v>42532876.427138835</v>
      </c>
      <c r="AZ18" s="37">
        <f t="shared" si="7"/>
        <v>40507501.359179847</v>
      </c>
      <c r="BA18" s="37">
        <f t="shared" si="7"/>
        <v>38578572.723028421</v>
      </c>
      <c r="BB18" s="37">
        <f t="shared" si="7"/>
        <v>36741497.83145564</v>
      </c>
      <c r="BC18" s="37">
        <f t="shared" si="7"/>
        <v>34991902.696624413</v>
      </c>
      <c r="BD18" s="37">
        <f t="shared" si="7"/>
        <v>33325621.615832787</v>
      </c>
      <c r="BE18" s="37">
        <f t="shared" si="7"/>
        <v>31738687.253174078</v>
      </c>
      <c r="BF18" s="37">
        <f t="shared" si="7"/>
        <v>30227321.193499122</v>
      </c>
      <c r="BG18" s="37">
        <f t="shared" si="7"/>
        <v>28787924.946189638</v>
      </c>
      <c r="BH18" s="37">
        <f t="shared" si="7"/>
        <v>27417071.377323467</v>
      </c>
      <c r="BI18" s="37">
        <f t="shared" si="7"/>
        <v>26111496.549831871</v>
      </c>
      <c r="BJ18" s="37">
        <f t="shared" si="7"/>
        <v>24868091.952220831</v>
      </c>
      <c r="BK18" s="37">
        <f t="shared" si="7"/>
        <v>23683897.097353164</v>
      </c>
      <c r="BL18" s="37">
        <f t="shared" si="7"/>
        <v>22556092.473669685</v>
      </c>
      <c r="BM18" s="37">
        <f t="shared" si="7"/>
        <v>21481992.832066361</v>
      </c>
      <c r="BN18" s="37">
        <f t="shared" si="7"/>
        <v>20459040.792444158</v>
      </c>
      <c r="BO18" s="37">
        <f t="shared" si="7"/>
        <v>19484800.754708722</v>
      </c>
      <c r="BP18" s="37">
        <f t="shared" si="7"/>
        <v>18556953.09972259</v>
      </c>
      <c r="BQ18" s="37">
        <f t="shared" si="7"/>
        <v>17673288.666402467</v>
      </c>
      <c r="BR18" s="37">
        <f t="shared" si="7"/>
        <v>16831703.491811872</v>
      </c>
      <c r="BS18" s="37">
        <f t="shared" si="7"/>
        <v>16030193.801725592</v>
      </c>
      <c r="BT18" s="37">
        <f t="shared" si="7"/>
        <v>15266851.239738664</v>
      </c>
      <c r="BU18" s="37">
        <f t="shared" si="7"/>
        <v>14539858.323560627</v>
      </c>
      <c r="BV18" s="37">
        <f t="shared" si="7"/>
        <v>13847484.117676791</v>
      </c>
      <c r="BW18" s="37">
        <f t="shared" si="7"/>
        <v>13188080.112073133</v>
      </c>
      <c r="BX18" s="37">
        <f t="shared" si="7"/>
        <v>12560076.297212506</v>
      </c>
      <c r="BY18" s="37">
        <f t="shared" si="7"/>
        <v>11961977.425916672</v>
      </c>
      <c r="BZ18" s="37">
        <f t="shared" si="7"/>
        <v>11392359.453253975</v>
      </c>
      <c r="CA18" s="37">
        <f t="shared" si="7"/>
        <v>10849866.145956164</v>
      </c>
      <c r="CB18" s="37">
        <f t="shared" si="7"/>
        <v>10333205.85329159</v>
      </c>
      <c r="CC18" s="37">
        <f t="shared" si="7"/>
        <v>9841148.4317062721</v>
      </c>
      <c r="CD18" s="37">
        <f t="shared" si="7"/>
        <v>9372522.3159107342</v>
      </c>
      <c r="CE18" s="37">
        <f t="shared" ref="CE18:CT18" si="8">$D$19*$D$20*CE16*CE12*CE13</f>
        <v>8926211.7294387948</v>
      </c>
      <c r="CF18" s="37">
        <f t="shared" si="8"/>
        <v>8501154.0280369464</v>
      </c>
      <c r="CG18" s="37">
        <f t="shared" si="8"/>
        <v>8096337.1695589973</v>
      </c>
      <c r="CH18" s="37">
        <f t="shared" si="8"/>
        <v>7710797.304341903</v>
      </c>
      <c r="CI18" s="37">
        <f t="shared" si="8"/>
        <v>7343616.4803256206</v>
      </c>
      <c r="CJ18" s="37">
        <f t="shared" si="8"/>
        <v>6993920.4574529743</v>
      </c>
      <c r="CK18" s="37">
        <f t="shared" si="8"/>
        <v>6660876.6261456879</v>
      </c>
      <c r="CL18" s="37">
        <f t="shared" si="8"/>
        <v>6343692.0249006553</v>
      </c>
      <c r="CM18" s="37">
        <f t="shared" si="8"/>
        <v>6041611.4522863384</v>
      </c>
      <c r="CN18" s="37">
        <f t="shared" si="8"/>
        <v>5753915.6688441327</v>
      </c>
      <c r="CO18" s="37">
        <f t="shared" si="8"/>
        <v>5479919.6846134588</v>
      </c>
      <c r="CP18" s="37">
        <f t="shared" si="8"/>
        <v>5218971.1282032952</v>
      </c>
      <c r="CQ18" s="37">
        <f t="shared" si="8"/>
        <v>4970448.693526946</v>
      </c>
      <c r="CR18" s="37">
        <f t="shared" si="8"/>
        <v>4733760.6605018554</v>
      </c>
      <c r="CS18" s="37">
        <f t="shared" si="8"/>
        <v>4508343.4861922413</v>
      </c>
      <c r="CT18" s="38">
        <f t="shared" si="8"/>
        <v>4293660.4630402299</v>
      </c>
      <c r="CV18" s="102">
        <f t="shared" ref="CV18:CV22" si="9">SUM(R18:CT18)</f>
        <v>4170126790.739193</v>
      </c>
      <c r="CW18" s="132"/>
      <c r="CX18" s="167"/>
      <c r="CY18" s="137"/>
    </row>
    <row r="19" spans="2:103" x14ac:dyDescent="0.25">
      <c r="B19" s="82" t="s">
        <v>20</v>
      </c>
      <c r="C19" s="9">
        <v>1</v>
      </c>
      <c r="D19" s="9">
        <v>1</v>
      </c>
      <c r="E19" s="10">
        <v>1</v>
      </c>
      <c r="F19" s="10">
        <v>1</v>
      </c>
      <c r="G19" s="1"/>
      <c r="H19" s="1"/>
      <c r="I19" s="1"/>
      <c r="J19" s="1"/>
      <c r="K19" s="93" t="s">
        <v>60</v>
      </c>
      <c r="L19" s="8">
        <v>40</v>
      </c>
      <c r="M19" s="1"/>
      <c r="N19" s="157"/>
      <c r="O19" s="154"/>
      <c r="P19" s="128" t="s">
        <v>55</v>
      </c>
      <c r="Q19" s="57" t="s">
        <v>45</v>
      </c>
      <c r="R19" s="45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73">
        <v>1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73">
        <v>1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  <c r="CM19" s="27">
        <v>0</v>
      </c>
      <c r="CN19" s="27">
        <v>0</v>
      </c>
      <c r="CO19" s="27">
        <v>0</v>
      </c>
      <c r="CP19" s="27">
        <v>0</v>
      </c>
      <c r="CQ19" s="27">
        <v>0</v>
      </c>
      <c r="CR19" s="27">
        <v>0</v>
      </c>
      <c r="CS19" s="27">
        <v>0</v>
      </c>
      <c r="CT19" s="31">
        <v>0</v>
      </c>
      <c r="CV19" s="2"/>
      <c r="CW19" s="1"/>
      <c r="CX19" s="167"/>
      <c r="CY19" s="137"/>
    </row>
    <row r="20" spans="2:103" ht="15.75" thickBot="1" x14ac:dyDescent="0.3">
      <c r="B20" s="82" t="s">
        <v>23</v>
      </c>
      <c r="C20" s="15">
        <f>C39</f>
        <v>350000000</v>
      </c>
      <c r="D20" s="15">
        <f>D39</f>
        <v>350000000</v>
      </c>
      <c r="E20" s="16">
        <f>E39</f>
        <v>350000000</v>
      </c>
      <c r="F20" s="16">
        <f>F39</f>
        <v>350000000</v>
      </c>
      <c r="G20" s="1"/>
      <c r="H20" s="1"/>
      <c r="I20" s="1"/>
      <c r="J20" s="1"/>
      <c r="K20" s="94" t="s">
        <v>61</v>
      </c>
      <c r="L20" s="10">
        <v>15</v>
      </c>
      <c r="M20" s="1"/>
      <c r="N20" s="157"/>
      <c r="O20" s="154"/>
      <c r="P20" s="129"/>
      <c r="Q20" s="57" t="s">
        <v>46</v>
      </c>
      <c r="R20" s="45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73">
        <v>1</v>
      </c>
      <c r="AI20" s="68">
        <v>1</v>
      </c>
      <c r="AJ20" s="68">
        <v>1</v>
      </c>
      <c r="AK20" s="68">
        <v>1</v>
      </c>
      <c r="AL20" s="68">
        <v>1</v>
      </c>
      <c r="AM20" s="68">
        <v>1</v>
      </c>
      <c r="AN20" s="68">
        <v>1</v>
      </c>
      <c r="AO20" s="68">
        <v>1</v>
      </c>
      <c r="AP20" s="68">
        <v>1</v>
      </c>
      <c r="AQ20" s="68">
        <v>1</v>
      </c>
      <c r="AR20" s="68">
        <v>1</v>
      </c>
      <c r="AS20" s="68">
        <v>1</v>
      </c>
      <c r="AT20" s="68">
        <v>1</v>
      </c>
      <c r="AU20" s="68">
        <v>1</v>
      </c>
      <c r="AV20" s="68">
        <v>1</v>
      </c>
      <c r="AW20" s="68">
        <v>1</v>
      </c>
      <c r="AX20" s="68">
        <v>1</v>
      </c>
      <c r="AY20" s="68">
        <v>1</v>
      </c>
      <c r="AZ20" s="68">
        <v>1</v>
      </c>
      <c r="BA20" s="68">
        <v>1</v>
      </c>
      <c r="BB20" s="68">
        <v>1</v>
      </c>
      <c r="BC20" s="68">
        <v>1</v>
      </c>
      <c r="BD20" s="68">
        <v>1</v>
      </c>
      <c r="BE20" s="68">
        <v>1</v>
      </c>
      <c r="BF20" s="68">
        <v>1</v>
      </c>
      <c r="BG20" s="68">
        <v>1</v>
      </c>
      <c r="BH20" s="68">
        <v>1</v>
      </c>
      <c r="BI20" s="68">
        <v>1</v>
      </c>
      <c r="BJ20" s="68">
        <v>1</v>
      </c>
      <c r="BK20" s="68">
        <v>1</v>
      </c>
      <c r="BL20" s="68">
        <v>1</v>
      </c>
      <c r="BM20" s="68">
        <v>1</v>
      </c>
      <c r="BN20" s="68">
        <v>1</v>
      </c>
      <c r="BO20" s="68">
        <v>1</v>
      </c>
      <c r="BP20" s="68">
        <v>1</v>
      </c>
      <c r="BQ20" s="68">
        <v>1</v>
      </c>
      <c r="BR20" s="68">
        <v>1</v>
      </c>
      <c r="BS20" s="68">
        <v>1</v>
      </c>
      <c r="BT20" s="68">
        <v>1</v>
      </c>
      <c r="BU20" s="68">
        <v>1</v>
      </c>
      <c r="BV20" s="73">
        <v>1</v>
      </c>
      <c r="BW20" s="68">
        <v>1</v>
      </c>
      <c r="BX20" s="68">
        <v>1</v>
      </c>
      <c r="BY20" s="68">
        <v>1</v>
      </c>
      <c r="BZ20" s="68">
        <v>1</v>
      </c>
      <c r="CA20" s="68">
        <v>1</v>
      </c>
      <c r="CB20" s="68">
        <v>1</v>
      </c>
      <c r="CC20" s="68">
        <v>1</v>
      </c>
      <c r="CD20" s="68">
        <v>1</v>
      </c>
      <c r="CE20" s="68">
        <v>1</v>
      </c>
      <c r="CF20" s="68">
        <v>1</v>
      </c>
      <c r="CG20" s="68">
        <v>1</v>
      </c>
      <c r="CH20" s="68">
        <v>1</v>
      </c>
      <c r="CI20" s="68">
        <v>1</v>
      </c>
      <c r="CJ20" s="68">
        <v>1</v>
      </c>
      <c r="CK20" s="68">
        <v>1</v>
      </c>
      <c r="CL20" s="68">
        <v>1</v>
      </c>
      <c r="CM20" s="68">
        <v>1</v>
      </c>
      <c r="CN20" s="68">
        <v>1</v>
      </c>
      <c r="CO20" s="68">
        <v>1</v>
      </c>
      <c r="CP20" s="68">
        <v>1</v>
      </c>
      <c r="CQ20" s="68">
        <v>1</v>
      </c>
      <c r="CR20" s="68">
        <v>1</v>
      </c>
      <c r="CS20" s="68">
        <v>1</v>
      </c>
      <c r="CT20" s="69">
        <v>1</v>
      </c>
      <c r="CV20" s="2"/>
      <c r="CW20" s="1"/>
      <c r="CX20" s="167"/>
      <c r="CY20" s="137"/>
    </row>
    <row r="21" spans="2:103" ht="15.75" thickBot="1" x14ac:dyDescent="0.3">
      <c r="B21" s="82" t="s">
        <v>18</v>
      </c>
      <c r="C21" s="9" t="s">
        <v>11</v>
      </c>
      <c r="D21" s="9" t="s">
        <v>11</v>
      </c>
      <c r="E21" s="10" t="s">
        <v>11</v>
      </c>
      <c r="F21" s="10" t="s">
        <v>11</v>
      </c>
      <c r="G21" s="1"/>
      <c r="H21" s="1"/>
      <c r="I21" s="1"/>
      <c r="J21" s="1"/>
      <c r="K21" s="95" t="s">
        <v>62</v>
      </c>
      <c r="L21" s="12">
        <v>2</v>
      </c>
      <c r="M21" s="1"/>
      <c r="N21" s="157"/>
      <c r="O21" s="154"/>
      <c r="P21" s="129"/>
      <c r="Q21" s="58" t="s">
        <v>43</v>
      </c>
      <c r="R21" s="47">
        <f>$D$27*$D$28/$D$29*R$13*R19</f>
        <v>0</v>
      </c>
      <c r="S21" s="25">
        <f t="shared" ref="S21:CD21" si="10">$D$27*$D$28/$D$29*S13*S19</f>
        <v>0</v>
      </c>
      <c r="T21" s="25">
        <f t="shared" si="10"/>
        <v>0</v>
      </c>
      <c r="U21" s="25">
        <f t="shared" si="10"/>
        <v>0</v>
      </c>
      <c r="V21" s="25">
        <f t="shared" si="10"/>
        <v>0</v>
      </c>
      <c r="W21" s="25">
        <f t="shared" si="10"/>
        <v>0</v>
      </c>
      <c r="X21" s="25">
        <f t="shared" si="10"/>
        <v>0</v>
      </c>
      <c r="Y21" s="25">
        <f t="shared" si="10"/>
        <v>0</v>
      </c>
      <c r="Z21" s="25">
        <f t="shared" si="10"/>
        <v>0</v>
      </c>
      <c r="AA21" s="25">
        <f t="shared" si="10"/>
        <v>0</v>
      </c>
      <c r="AB21" s="25">
        <f t="shared" si="10"/>
        <v>0</v>
      </c>
      <c r="AC21" s="25">
        <f t="shared" si="10"/>
        <v>0</v>
      </c>
      <c r="AD21" s="25">
        <f t="shared" si="10"/>
        <v>0</v>
      </c>
      <c r="AE21" s="25">
        <f t="shared" si="10"/>
        <v>0</v>
      </c>
      <c r="AF21" s="25">
        <f t="shared" si="10"/>
        <v>0</v>
      </c>
      <c r="AG21" s="25">
        <f t="shared" si="10"/>
        <v>-16248382.754994983</v>
      </c>
      <c r="AH21" s="25">
        <f t="shared" si="10"/>
        <v>0</v>
      </c>
      <c r="AI21" s="25">
        <f t="shared" si="10"/>
        <v>0</v>
      </c>
      <c r="AJ21" s="25">
        <f t="shared" si="10"/>
        <v>0</v>
      </c>
      <c r="AK21" s="25">
        <f t="shared" si="10"/>
        <v>0</v>
      </c>
      <c r="AL21" s="25">
        <f t="shared" si="10"/>
        <v>0</v>
      </c>
      <c r="AM21" s="25">
        <f t="shared" si="10"/>
        <v>0</v>
      </c>
      <c r="AN21" s="25">
        <f t="shared" si="10"/>
        <v>0</v>
      </c>
      <c r="AO21" s="25">
        <f t="shared" si="10"/>
        <v>0</v>
      </c>
      <c r="AP21" s="25">
        <f t="shared" si="10"/>
        <v>0</v>
      </c>
      <c r="AQ21" s="25">
        <f t="shared" si="10"/>
        <v>0</v>
      </c>
      <c r="AR21" s="25">
        <f t="shared" si="10"/>
        <v>0</v>
      </c>
      <c r="AS21" s="25">
        <f t="shared" si="10"/>
        <v>0</v>
      </c>
      <c r="AT21" s="25">
        <f t="shared" si="10"/>
        <v>0</v>
      </c>
      <c r="AU21" s="25">
        <f t="shared" si="10"/>
        <v>0</v>
      </c>
      <c r="AV21" s="25">
        <f t="shared" si="10"/>
        <v>0</v>
      </c>
      <c r="AW21" s="25">
        <f t="shared" si="10"/>
        <v>0</v>
      </c>
      <c r="AX21" s="25">
        <f t="shared" si="10"/>
        <v>0</v>
      </c>
      <c r="AY21" s="25">
        <f t="shared" si="10"/>
        <v>0</v>
      </c>
      <c r="AZ21" s="25">
        <f t="shared" si="10"/>
        <v>0</v>
      </c>
      <c r="BA21" s="25">
        <f t="shared" si="10"/>
        <v>0</v>
      </c>
      <c r="BB21" s="25">
        <f t="shared" si="10"/>
        <v>0</v>
      </c>
      <c r="BC21" s="25">
        <f t="shared" si="10"/>
        <v>0</v>
      </c>
      <c r="BD21" s="25">
        <f t="shared" si="10"/>
        <v>0</v>
      </c>
      <c r="BE21" s="25">
        <f t="shared" si="10"/>
        <v>0</v>
      </c>
      <c r="BF21" s="25">
        <f t="shared" si="10"/>
        <v>0</v>
      </c>
      <c r="BG21" s="25">
        <f t="shared" si="10"/>
        <v>0</v>
      </c>
      <c r="BH21" s="25">
        <f t="shared" si="10"/>
        <v>0</v>
      </c>
      <c r="BI21" s="25">
        <f t="shared" si="10"/>
        <v>0</v>
      </c>
      <c r="BJ21" s="25">
        <f t="shared" si="10"/>
        <v>0</v>
      </c>
      <c r="BK21" s="25">
        <f t="shared" si="10"/>
        <v>0</v>
      </c>
      <c r="BL21" s="25">
        <f t="shared" si="10"/>
        <v>0</v>
      </c>
      <c r="BM21" s="25">
        <f t="shared" si="10"/>
        <v>0</v>
      </c>
      <c r="BN21" s="25">
        <f t="shared" si="10"/>
        <v>0</v>
      </c>
      <c r="BO21" s="25">
        <f t="shared" si="10"/>
        <v>0</v>
      </c>
      <c r="BP21" s="25">
        <f t="shared" si="10"/>
        <v>0</v>
      </c>
      <c r="BQ21" s="25">
        <f t="shared" si="10"/>
        <v>0</v>
      </c>
      <c r="BR21" s="25">
        <f t="shared" si="10"/>
        <v>0</v>
      </c>
      <c r="BS21" s="25">
        <f t="shared" si="10"/>
        <v>0</v>
      </c>
      <c r="BT21" s="25">
        <f t="shared" si="10"/>
        <v>0</v>
      </c>
      <c r="BU21" s="25">
        <f t="shared" si="10"/>
        <v>-2308012.6147093298</v>
      </c>
      <c r="BV21" s="25">
        <f t="shared" si="10"/>
        <v>0</v>
      </c>
      <c r="BW21" s="25">
        <f t="shared" si="10"/>
        <v>0</v>
      </c>
      <c r="BX21" s="25">
        <f t="shared" si="10"/>
        <v>0</v>
      </c>
      <c r="BY21" s="25">
        <f t="shared" si="10"/>
        <v>0</v>
      </c>
      <c r="BZ21" s="25">
        <f t="shared" si="10"/>
        <v>0</v>
      </c>
      <c r="CA21" s="25">
        <f t="shared" si="10"/>
        <v>0</v>
      </c>
      <c r="CB21" s="25">
        <f t="shared" si="10"/>
        <v>0</v>
      </c>
      <c r="CC21" s="25">
        <f t="shared" si="10"/>
        <v>0</v>
      </c>
      <c r="CD21" s="25">
        <f t="shared" si="10"/>
        <v>0</v>
      </c>
      <c r="CE21" s="25">
        <f t="shared" ref="CE21:CT21" si="11">$D$27*$D$28/$D$29*CE13*CE19</f>
        <v>0</v>
      </c>
      <c r="CF21" s="25">
        <f t="shared" si="11"/>
        <v>0</v>
      </c>
      <c r="CG21" s="25">
        <f t="shared" si="11"/>
        <v>0</v>
      </c>
      <c r="CH21" s="25">
        <f t="shared" si="11"/>
        <v>0</v>
      </c>
      <c r="CI21" s="25">
        <f t="shared" si="11"/>
        <v>0</v>
      </c>
      <c r="CJ21" s="25">
        <f t="shared" si="11"/>
        <v>0</v>
      </c>
      <c r="CK21" s="25">
        <f t="shared" si="11"/>
        <v>0</v>
      </c>
      <c r="CL21" s="25">
        <f t="shared" si="11"/>
        <v>0</v>
      </c>
      <c r="CM21" s="25">
        <f t="shared" si="11"/>
        <v>0</v>
      </c>
      <c r="CN21" s="25">
        <f t="shared" si="11"/>
        <v>0</v>
      </c>
      <c r="CO21" s="25">
        <f t="shared" si="11"/>
        <v>0</v>
      </c>
      <c r="CP21" s="25">
        <f t="shared" si="11"/>
        <v>0</v>
      </c>
      <c r="CQ21" s="25">
        <f t="shared" si="11"/>
        <v>0</v>
      </c>
      <c r="CR21" s="25">
        <f t="shared" si="11"/>
        <v>0</v>
      </c>
      <c r="CS21" s="25">
        <f t="shared" si="11"/>
        <v>0</v>
      </c>
      <c r="CT21" s="36">
        <f t="shared" si="11"/>
        <v>0</v>
      </c>
      <c r="CV21" s="101">
        <f t="shared" si="9"/>
        <v>-18556395.369704314</v>
      </c>
      <c r="CW21" s="139">
        <f>SUM(CV21:CV22)</f>
        <v>157963805.04958844</v>
      </c>
      <c r="CX21" s="167"/>
      <c r="CY21" s="137"/>
    </row>
    <row r="22" spans="2:103" ht="15.75" thickBot="1" x14ac:dyDescent="0.3">
      <c r="B22" s="83" t="s">
        <v>19</v>
      </c>
      <c r="C22" s="11" t="b">
        <v>1</v>
      </c>
      <c r="D22" s="11" t="b">
        <v>1</v>
      </c>
      <c r="E22" s="12" t="b">
        <v>1</v>
      </c>
      <c r="F22" s="12" t="b">
        <v>1</v>
      </c>
      <c r="G22" s="1"/>
      <c r="H22" s="1"/>
      <c r="I22" s="1"/>
      <c r="J22" s="1"/>
      <c r="K22" s="24"/>
      <c r="L22" s="1"/>
      <c r="M22" s="1"/>
      <c r="N22" s="158"/>
      <c r="O22" s="155"/>
      <c r="P22" s="130"/>
      <c r="Q22" s="59" t="s">
        <v>44</v>
      </c>
      <c r="R22" s="48">
        <f>$D$33*$D$34*R$12*R$13*R20</f>
        <v>0</v>
      </c>
      <c r="S22" s="37">
        <f t="shared" ref="S22:CD22" si="12">$D$33*$D$34*S12*S13*S20</f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  <c r="Y22" s="37">
        <f t="shared" si="12"/>
        <v>0</v>
      </c>
      <c r="Z22" s="37">
        <f t="shared" si="12"/>
        <v>0</v>
      </c>
      <c r="AA22" s="37">
        <f t="shared" si="12"/>
        <v>0</v>
      </c>
      <c r="AB22" s="37">
        <f t="shared" si="12"/>
        <v>0</v>
      </c>
      <c r="AC22" s="37">
        <f t="shared" si="12"/>
        <v>0</v>
      </c>
      <c r="AD22" s="37">
        <f t="shared" si="12"/>
        <v>0</v>
      </c>
      <c r="AE22" s="37">
        <f t="shared" si="12"/>
        <v>0</v>
      </c>
      <c r="AF22" s="37">
        <f t="shared" si="12"/>
        <v>0</v>
      </c>
      <c r="AG22" s="37">
        <f t="shared" si="12"/>
        <v>0</v>
      </c>
      <c r="AH22" s="37">
        <f t="shared" si="12"/>
        <v>8773751.8691792972</v>
      </c>
      <c r="AI22" s="37">
        <f t="shared" si="12"/>
        <v>8355954.1611231389</v>
      </c>
      <c r="AJ22" s="37">
        <f t="shared" si="12"/>
        <v>7958051.5820220374</v>
      </c>
      <c r="AK22" s="37">
        <f t="shared" si="12"/>
        <v>7579096.7447828921</v>
      </c>
      <c r="AL22" s="37">
        <f t="shared" si="12"/>
        <v>7218187.3759837076</v>
      </c>
      <c r="AM22" s="37">
        <f t="shared" si="12"/>
        <v>6874464.1676035309</v>
      </c>
      <c r="AN22" s="37">
        <f t="shared" si="12"/>
        <v>6547108.7310509831</v>
      </c>
      <c r="AO22" s="37">
        <f t="shared" si="12"/>
        <v>6235341.6486199815</v>
      </c>
      <c r="AP22" s="37">
        <f t="shared" si="12"/>
        <v>5938420.6177333174</v>
      </c>
      <c r="AQ22" s="37">
        <f t="shared" si="12"/>
        <v>5655638.6835555397</v>
      </c>
      <c r="AR22" s="37">
        <f t="shared" si="12"/>
        <v>5386322.5557671804</v>
      </c>
      <c r="AS22" s="37">
        <f t="shared" si="12"/>
        <v>5129831.0054925522</v>
      </c>
      <c r="AT22" s="37">
        <f t="shared" si="12"/>
        <v>4885553.3385643372</v>
      </c>
      <c r="AU22" s="37">
        <f t="shared" si="12"/>
        <v>4652907.9414898437</v>
      </c>
      <c r="AV22" s="37">
        <f t="shared" si="12"/>
        <v>4431340.8966569947</v>
      </c>
      <c r="AW22" s="37">
        <f t="shared" si="12"/>
        <v>4220324.6634828504</v>
      </c>
      <c r="AX22" s="37">
        <f t="shared" si="12"/>
        <v>4019356.8223646199</v>
      </c>
      <c r="AY22" s="37">
        <f t="shared" si="12"/>
        <v>3827958.8784424956</v>
      </c>
      <c r="AZ22" s="37">
        <f t="shared" si="12"/>
        <v>3645675.1223261864</v>
      </c>
      <c r="BA22" s="37">
        <f t="shared" si="12"/>
        <v>3472071.5450725579</v>
      </c>
      <c r="BB22" s="37">
        <f t="shared" si="12"/>
        <v>3306734.804831008</v>
      </c>
      <c r="BC22" s="37">
        <f t="shared" si="12"/>
        <v>3149271.2426961972</v>
      </c>
      <c r="BD22" s="37">
        <f t="shared" si="12"/>
        <v>2999305.9454249507</v>
      </c>
      <c r="BE22" s="37">
        <f t="shared" si="12"/>
        <v>2856481.8527856669</v>
      </c>
      <c r="BF22" s="37">
        <f t="shared" si="12"/>
        <v>2720458.9074149211</v>
      </c>
      <c r="BG22" s="37">
        <f t="shared" si="12"/>
        <v>2590913.2451570677</v>
      </c>
      <c r="BH22" s="37">
        <f t="shared" si="12"/>
        <v>2467536.4239591123</v>
      </c>
      <c r="BI22" s="37">
        <f t="shared" si="12"/>
        <v>2350034.6894848682</v>
      </c>
      <c r="BJ22" s="37">
        <f t="shared" si="12"/>
        <v>2238128.2756998749</v>
      </c>
      <c r="BK22" s="37">
        <f t="shared" si="12"/>
        <v>2131550.738761785</v>
      </c>
      <c r="BL22" s="37">
        <f t="shared" si="12"/>
        <v>2030048.3226302718</v>
      </c>
      <c r="BM22" s="37">
        <f t="shared" si="12"/>
        <v>1933379.3548859726</v>
      </c>
      <c r="BN22" s="37">
        <f t="shared" si="12"/>
        <v>1841313.6713199741</v>
      </c>
      <c r="BO22" s="37">
        <f t="shared" si="12"/>
        <v>1753632.067923785</v>
      </c>
      <c r="BP22" s="37">
        <f t="shared" si="12"/>
        <v>1670125.778975033</v>
      </c>
      <c r="BQ22" s="37">
        <f t="shared" si="12"/>
        <v>1590595.9799762219</v>
      </c>
      <c r="BR22" s="37">
        <f t="shared" si="12"/>
        <v>1514853.3142630686</v>
      </c>
      <c r="BS22" s="37">
        <f t="shared" si="12"/>
        <v>1442717.4421553034</v>
      </c>
      <c r="BT22" s="37">
        <f t="shared" si="12"/>
        <v>1374016.6115764796</v>
      </c>
      <c r="BU22" s="37">
        <f t="shared" si="12"/>
        <v>1308587.2491204564</v>
      </c>
      <c r="BV22" s="37">
        <f t="shared" si="12"/>
        <v>1246273.5705909112</v>
      </c>
      <c r="BW22" s="37">
        <f t="shared" si="12"/>
        <v>1186927.210086582</v>
      </c>
      <c r="BX22" s="37">
        <f t="shared" si="12"/>
        <v>1130406.8667491255</v>
      </c>
      <c r="BY22" s="37">
        <f t="shared" si="12"/>
        <v>1076577.9683325004</v>
      </c>
      <c r="BZ22" s="37">
        <f t="shared" si="12"/>
        <v>1025312.3507928577</v>
      </c>
      <c r="CA22" s="37">
        <f t="shared" si="12"/>
        <v>976487.9531360548</v>
      </c>
      <c r="CB22" s="37">
        <f t="shared" si="12"/>
        <v>929988.52679624304</v>
      </c>
      <c r="CC22" s="37">
        <f t="shared" si="12"/>
        <v>885703.35885356436</v>
      </c>
      <c r="CD22" s="37">
        <f t="shared" si="12"/>
        <v>843527.00843196607</v>
      </c>
      <c r="CE22" s="37">
        <f t="shared" ref="CE22:CT22" si="13">$D$33*$D$34*CE12*CE13*CE20</f>
        <v>803359.05564949149</v>
      </c>
      <c r="CF22" s="37">
        <f t="shared" si="13"/>
        <v>765103.86252332525</v>
      </c>
      <c r="CG22" s="37">
        <f t="shared" si="13"/>
        <v>728670.34526030975</v>
      </c>
      <c r="CH22" s="37">
        <f t="shared" si="13"/>
        <v>693971.75739077129</v>
      </c>
      <c r="CI22" s="37">
        <f t="shared" si="13"/>
        <v>660925.48322930594</v>
      </c>
      <c r="CJ22" s="37">
        <f t="shared" si="13"/>
        <v>629452.84117076767</v>
      </c>
      <c r="CK22" s="37">
        <f t="shared" si="13"/>
        <v>599478.89635311195</v>
      </c>
      <c r="CL22" s="37">
        <f t="shared" si="13"/>
        <v>570932.282241059</v>
      </c>
      <c r="CM22" s="37">
        <f t="shared" si="13"/>
        <v>543745.03070577048</v>
      </c>
      <c r="CN22" s="37">
        <f t="shared" si="13"/>
        <v>517852.4101959719</v>
      </c>
      <c r="CO22" s="37">
        <f t="shared" si="13"/>
        <v>493192.77161521127</v>
      </c>
      <c r="CP22" s="37">
        <f t="shared" si="13"/>
        <v>469707.40153829654</v>
      </c>
      <c r="CQ22" s="37">
        <f t="shared" si="13"/>
        <v>447340.38241742516</v>
      </c>
      <c r="CR22" s="37">
        <f t="shared" si="13"/>
        <v>426038.45944516698</v>
      </c>
      <c r="CS22" s="37">
        <f t="shared" si="13"/>
        <v>405750.91375730175</v>
      </c>
      <c r="CT22" s="38">
        <f t="shared" si="13"/>
        <v>386429.44167362072</v>
      </c>
      <c r="CV22" s="102">
        <f t="shared" si="9"/>
        <v>176520200.41929275</v>
      </c>
      <c r="CW22" s="140"/>
      <c r="CX22" s="168"/>
      <c r="CY22" s="138"/>
    </row>
    <row r="23" spans="2:103" ht="15.75" thickBot="1" x14ac:dyDescent="0.3">
      <c r="C23" s="1"/>
      <c r="D23" s="1"/>
      <c r="E23" s="1"/>
      <c r="F23" s="1"/>
      <c r="G23" s="1"/>
      <c r="H23" s="1"/>
      <c r="I23" s="1"/>
      <c r="J23" s="1"/>
      <c r="K23" s="24"/>
      <c r="L23" s="1"/>
      <c r="M23" s="1"/>
      <c r="N23" s="1"/>
      <c r="O23" s="1"/>
      <c r="P23" s="1"/>
      <c r="Q23" s="1"/>
      <c r="R23" s="2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</row>
    <row r="24" spans="2:103" x14ac:dyDescent="0.25">
      <c r="B24" s="84" t="s">
        <v>24</v>
      </c>
      <c r="C24" s="7">
        <v>40</v>
      </c>
      <c r="D24" s="7">
        <v>40</v>
      </c>
      <c r="E24" s="8">
        <v>40</v>
      </c>
      <c r="F24" s="8">
        <v>40</v>
      </c>
      <c r="G24" s="1"/>
      <c r="H24" s="1"/>
      <c r="I24" s="1"/>
      <c r="J24" s="1"/>
      <c r="K24" s="24"/>
      <c r="L24" s="1"/>
      <c r="M24" s="1"/>
      <c r="N24" s="1"/>
      <c r="O24" s="1"/>
      <c r="P24" s="1"/>
      <c r="Q24" s="1"/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</row>
    <row r="25" spans="2:103" ht="15" customHeight="1" x14ac:dyDescent="0.25">
      <c r="B25" s="85" t="s">
        <v>25</v>
      </c>
      <c r="C25" s="9">
        <v>15</v>
      </c>
      <c r="D25" s="9">
        <v>15</v>
      </c>
      <c r="E25" s="96">
        <f>D25-E24</f>
        <v>-25</v>
      </c>
      <c r="F25" s="96">
        <v>-25</v>
      </c>
    </row>
    <row r="26" spans="2:103" ht="15.75" thickBot="1" x14ac:dyDescent="0.3">
      <c r="B26" s="85" t="s">
        <v>26</v>
      </c>
      <c r="C26" s="9">
        <v>2</v>
      </c>
      <c r="D26" s="9">
        <v>2</v>
      </c>
      <c r="E26" s="96">
        <v>2</v>
      </c>
      <c r="F26" s="96">
        <v>2</v>
      </c>
    </row>
    <row r="27" spans="2:103" x14ac:dyDescent="0.25">
      <c r="B27" s="85" t="s">
        <v>27</v>
      </c>
      <c r="C27" s="15">
        <v>-153000000</v>
      </c>
      <c r="D27" s="15">
        <v>-153000000</v>
      </c>
      <c r="E27" s="16">
        <v>-153000000</v>
      </c>
      <c r="F27" s="16">
        <v>-153000000</v>
      </c>
      <c r="I27" s="150" t="s">
        <v>66</v>
      </c>
      <c r="K27" s="90" t="s">
        <v>60</v>
      </c>
      <c r="L27" s="87">
        <v>60</v>
      </c>
      <c r="N27" s="118" t="s">
        <v>69</v>
      </c>
      <c r="O27" s="153" t="s">
        <v>67</v>
      </c>
      <c r="P27" s="121" t="s">
        <v>54</v>
      </c>
      <c r="Q27" s="56" t="s">
        <v>45</v>
      </c>
      <c r="R27" s="100">
        <v>1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0</v>
      </c>
      <c r="BU27" s="34">
        <v>0</v>
      </c>
      <c r="BV27" s="34">
        <v>0</v>
      </c>
      <c r="BW27" s="34">
        <v>0</v>
      </c>
      <c r="BX27" s="34">
        <v>0</v>
      </c>
      <c r="BY27" s="34">
        <v>0</v>
      </c>
      <c r="BZ27" s="74">
        <v>1</v>
      </c>
      <c r="CA27" s="34">
        <v>0</v>
      </c>
      <c r="CB27" s="34">
        <v>0</v>
      </c>
      <c r="CC27" s="34">
        <v>0</v>
      </c>
      <c r="CD27" s="34">
        <v>0</v>
      </c>
      <c r="CE27" s="34">
        <v>0</v>
      </c>
      <c r="CF27" s="34">
        <v>0</v>
      </c>
      <c r="CG27" s="34">
        <v>0</v>
      </c>
      <c r="CH27" s="34">
        <v>0</v>
      </c>
      <c r="CI27" s="34">
        <v>0</v>
      </c>
      <c r="CJ27" s="34">
        <v>0</v>
      </c>
      <c r="CK27" s="34">
        <v>0</v>
      </c>
      <c r="CL27" s="34">
        <v>0</v>
      </c>
      <c r="CM27" s="34">
        <v>0</v>
      </c>
      <c r="CN27" s="34">
        <v>0</v>
      </c>
      <c r="CO27" s="34">
        <v>0</v>
      </c>
      <c r="CP27" s="34">
        <v>0</v>
      </c>
      <c r="CQ27" s="34">
        <v>0</v>
      </c>
      <c r="CR27" s="34">
        <v>0</v>
      </c>
      <c r="CS27" s="34">
        <v>0</v>
      </c>
      <c r="CT27" s="35">
        <v>0</v>
      </c>
    </row>
    <row r="28" spans="2:103" ht="15.75" thickBot="1" x14ac:dyDescent="0.3">
      <c r="B28" s="85" t="s">
        <v>28</v>
      </c>
      <c r="C28" s="15">
        <f>C40</f>
        <v>51000000</v>
      </c>
      <c r="D28" s="15">
        <f>D40</f>
        <v>51000000</v>
      </c>
      <c r="E28" s="16">
        <f>E40</f>
        <v>51000000</v>
      </c>
      <c r="F28" s="16">
        <f>F40</f>
        <v>51000000</v>
      </c>
      <c r="I28" s="151"/>
      <c r="K28" s="91" t="s">
        <v>61</v>
      </c>
      <c r="L28" s="88">
        <v>0</v>
      </c>
      <c r="N28" s="119"/>
      <c r="O28" s="154"/>
      <c r="P28" s="122"/>
      <c r="Q28" s="57" t="s">
        <v>46</v>
      </c>
      <c r="R28" s="45">
        <v>0</v>
      </c>
      <c r="S28" s="73">
        <v>1</v>
      </c>
      <c r="T28" s="68">
        <v>1</v>
      </c>
      <c r="U28" s="68">
        <v>1</v>
      </c>
      <c r="V28" s="68">
        <v>1</v>
      </c>
      <c r="W28" s="68">
        <v>1</v>
      </c>
      <c r="X28" s="68">
        <v>1</v>
      </c>
      <c r="Y28" s="68">
        <v>1</v>
      </c>
      <c r="Z28" s="68">
        <v>1</v>
      </c>
      <c r="AA28" s="68">
        <v>1</v>
      </c>
      <c r="AB28" s="68">
        <v>1</v>
      </c>
      <c r="AC28" s="68">
        <v>1</v>
      </c>
      <c r="AD28" s="68">
        <v>1</v>
      </c>
      <c r="AE28" s="68">
        <v>1</v>
      </c>
      <c r="AF28" s="68">
        <v>1</v>
      </c>
      <c r="AG28" s="68">
        <v>1</v>
      </c>
      <c r="AH28" s="68">
        <v>1</v>
      </c>
      <c r="AI28" s="68">
        <v>1</v>
      </c>
      <c r="AJ28" s="68">
        <v>1</v>
      </c>
      <c r="AK28" s="68">
        <v>1</v>
      </c>
      <c r="AL28" s="68">
        <v>1</v>
      </c>
      <c r="AM28" s="68">
        <v>1</v>
      </c>
      <c r="AN28" s="68">
        <v>1</v>
      </c>
      <c r="AO28" s="68">
        <v>1</v>
      </c>
      <c r="AP28" s="68">
        <v>1</v>
      </c>
      <c r="AQ28" s="68">
        <v>1</v>
      </c>
      <c r="AR28" s="68">
        <v>1</v>
      </c>
      <c r="AS28" s="68">
        <v>1</v>
      </c>
      <c r="AT28" s="68">
        <v>1</v>
      </c>
      <c r="AU28" s="68">
        <v>1</v>
      </c>
      <c r="AV28" s="68">
        <v>1</v>
      </c>
      <c r="AW28" s="68">
        <v>1</v>
      </c>
      <c r="AX28" s="68">
        <v>1</v>
      </c>
      <c r="AY28" s="68">
        <v>1</v>
      </c>
      <c r="AZ28" s="68">
        <v>1</v>
      </c>
      <c r="BA28" s="68">
        <v>1</v>
      </c>
      <c r="BB28" s="68">
        <v>1</v>
      </c>
      <c r="BC28" s="68">
        <v>1</v>
      </c>
      <c r="BD28" s="68">
        <v>1</v>
      </c>
      <c r="BE28" s="68">
        <v>1</v>
      </c>
      <c r="BF28" s="68">
        <v>1</v>
      </c>
      <c r="BG28" s="68">
        <v>1</v>
      </c>
      <c r="BH28" s="68">
        <v>1</v>
      </c>
      <c r="BI28" s="68">
        <v>1</v>
      </c>
      <c r="BJ28" s="68">
        <v>1</v>
      </c>
      <c r="BK28" s="68">
        <v>1</v>
      </c>
      <c r="BL28" s="68">
        <v>1</v>
      </c>
      <c r="BM28" s="68">
        <v>1</v>
      </c>
      <c r="BN28" s="68">
        <v>1</v>
      </c>
      <c r="BO28" s="68">
        <v>1</v>
      </c>
      <c r="BP28" s="68">
        <v>1</v>
      </c>
      <c r="BQ28" s="68">
        <v>1</v>
      </c>
      <c r="BR28" s="68">
        <v>1</v>
      </c>
      <c r="BS28" s="68">
        <v>1</v>
      </c>
      <c r="BT28" s="68">
        <v>1</v>
      </c>
      <c r="BU28" s="68">
        <v>1</v>
      </c>
      <c r="BV28" s="68">
        <v>1</v>
      </c>
      <c r="BW28" s="68">
        <v>1</v>
      </c>
      <c r="BX28" s="68">
        <v>1</v>
      </c>
      <c r="BY28" s="68">
        <v>1</v>
      </c>
      <c r="BZ28" s="68">
        <v>1</v>
      </c>
      <c r="CA28" s="73">
        <v>1</v>
      </c>
      <c r="CB28" s="68">
        <v>1</v>
      </c>
      <c r="CC28" s="68">
        <v>1</v>
      </c>
      <c r="CD28" s="68">
        <v>1</v>
      </c>
      <c r="CE28" s="68">
        <v>1</v>
      </c>
      <c r="CF28" s="68">
        <v>1</v>
      </c>
      <c r="CG28" s="68">
        <v>1</v>
      </c>
      <c r="CH28" s="68">
        <v>1</v>
      </c>
      <c r="CI28" s="68">
        <v>1</v>
      </c>
      <c r="CJ28" s="68">
        <v>1</v>
      </c>
      <c r="CK28" s="68">
        <v>1</v>
      </c>
      <c r="CL28" s="68">
        <v>1</v>
      </c>
      <c r="CM28" s="68">
        <v>1</v>
      </c>
      <c r="CN28" s="68">
        <v>1</v>
      </c>
      <c r="CO28" s="68">
        <v>1</v>
      </c>
      <c r="CP28" s="68">
        <v>1</v>
      </c>
      <c r="CQ28" s="68">
        <v>1</v>
      </c>
      <c r="CR28" s="68">
        <v>1</v>
      </c>
      <c r="CS28" s="68">
        <v>1</v>
      </c>
      <c r="CT28" s="69">
        <v>1</v>
      </c>
    </row>
    <row r="29" spans="2:103" ht="15.75" thickBot="1" x14ac:dyDescent="0.3">
      <c r="B29" s="85" t="s">
        <v>29</v>
      </c>
      <c r="C29" s="15">
        <v>231000000</v>
      </c>
      <c r="D29" s="15">
        <v>231000000</v>
      </c>
      <c r="E29" s="16">
        <v>231000000</v>
      </c>
      <c r="F29" s="16">
        <v>231000000</v>
      </c>
      <c r="I29" s="151"/>
      <c r="K29" s="92" t="s">
        <v>62</v>
      </c>
      <c r="L29" s="89" t="s">
        <v>11</v>
      </c>
      <c r="N29" s="119"/>
      <c r="O29" s="154"/>
      <c r="P29" s="122"/>
      <c r="Q29" s="58" t="s">
        <v>41</v>
      </c>
      <c r="R29" s="47">
        <f t="shared" ref="R29:AW29" si="14">R17</f>
        <v>-1230000000</v>
      </c>
      <c r="S29" s="25">
        <f t="shared" si="14"/>
        <v>0</v>
      </c>
      <c r="T29" s="25">
        <f t="shared" si="14"/>
        <v>0</v>
      </c>
      <c r="U29" s="25">
        <f t="shared" si="14"/>
        <v>0</v>
      </c>
      <c r="V29" s="25">
        <f t="shared" si="14"/>
        <v>0</v>
      </c>
      <c r="W29" s="25">
        <f t="shared" si="14"/>
        <v>0</v>
      </c>
      <c r="X29" s="25">
        <f t="shared" si="14"/>
        <v>0</v>
      </c>
      <c r="Y29" s="25">
        <f t="shared" si="14"/>
        <v>0</v>
      </c>
      <c r="Z29" s="25">
        <f t="shared" si="14"/>
        <v>0</v>
      </c>
      <c r="AA29" s="25">
        <f t="shared" si="14"/>
        <v>0</v>
      </c>
      <c r="AB29" s="25">
        <f t="shared" si="14"/>
        <v>0</v>
      </c>
      <c r="AC29" s="25">
        <f t="shared" si="14"/>
        <v>0</v>
      </c>
      <c r="AD29" s="25">
        <f t="shared" si="14"/>
        <v>0</v>
      </c>
      <c r="AE29" s="25">
        <f t="shared" si="14"/>
        <v>0</v>
      </c>
      <c r="AF29" s="25">
        <f t="shared" si="14"/>
        <v>0</v>
      </c>
      <c r="AG29" s="25">
        <f t="shared" si="14"/>
        <v>0</v>
      </c>
      <c r="AH29" s="25">
        <f t="shared" si="14"/>
        <v>0</v>
      </c>
      <c r="AI29" s="25">
        <f t="shared" si="14"/>
        <v>0</v>
      </c>
      <c r="AJ29" s="25">
        <f t="shared" si="14"/>
        <v>0</v>
      </c>
      <c r="AK29" s="25">
        <f t="shared" si="14"/>
        <v>0</v>
      </c>
      <c r="AL29" s="25">
        <f t="shared" si="14"/>
        <v>0</v>
      </c>
      <c r="AM29" s="25">
        <f t="shared" si="14"/>
        <v>0</v>
      </c>
      <c r="AN29" s="25">
        <f t="shared" si="14"/>
        <v>0</v>
      </c>
      <c r="AO29" s="25">
        <f t="shared" si="14"/>
        <v>0</v>
      </c>
      <c r="AP29" s="25">
        <f t="shared" si="14"/>
        <v>0</v>
      </c>
      <c r="AQ29" s="25">
        <f t="shared" si="14"/>
        <v>0</v>
      </c>
      <c r="AR29" s="25">
        <f t="shared" si="14"/>
        <v>0</v>
      </c>
      <c r="AS29" s="25">
        <f t="shared" si="14"/>
        <v>0</v>
      </c>
      <c r="AT29" s="25">
        <f t="shared" si="14"/>
        <v>0</v>
      </c>
      <c r="AU29" s="25">
        <f t="shared" si="14"/>
        <v>0</v>
      </c>
      <c r="AV29" s="25">
        <f t="shared" si="14"/>
        <v>0</v>
      </c>
      <c r="AW29" s="25">
        <f t="shared" si="14"/>
        <v>0</v>
      </c>
      <c r="AX29" s="25">
        <f t="shared" ref="AX29:CC29" si="15">AX17</f>
        <v>0</v>
      </c>
      <c r="AY29" s="25">
        <f t="shared" si="15"/>
        <v>0</v>
      </c>
      <c r="AZ29" s="25">
        <f t="shared" si="15"/>
        <v>0</v>
      </c>
      <c r="BA29" s="25">
        <f t="shared" si="15"/>
        <v>0</v>
      </c>
      <c r="BB29" s="25">
        <f t="shared" si="15"/>
        <v>0</v>
      </c>
      <c r="BC29" s="25">
        <f t="shared" si="15"/>
        <v>0</v>
      </c>
      <c r="BD29" s="25">
        <f t="shared" si="15"/>
        <v>0</v>
      </c>
      <c r="BE29" s="25">
        <f t="shared" si="15"/>
        <v>0</v>
      </c>
      <c r="BF29" s="25">
        <f t="shared" si="15"/>
        <v>0</v>
      </c>
      <c r="BG29" s="25">
        <f t="shared" si="15"/>
        <v>0</v>
      </c>
      <c r="BH29" s="25">
        <f t="shared" si="15"/>
        <v>0</v>
      </c>
      <c r="BI29" s="25">
        <f t="shared" si="15"/>
        <v>0</v>
      </c>
      <c r="BJ29" s="25">
        <f t="shared" si="15"/>
        <v>0</v>
      </c>
      <c r="BK29" s="25">
        <f t="shared" si="15"/>
        <v>0</v>
      </c>
      <c r="BL29" s="25">
        <f t="shared" si="15"/>
        <v>0</v>
      </c>
      <c r="BM29" s="25">
        <f t="shared" si="15"/>
        <v>0</v>
      </c>
      <c r="BN29" s="25">
        <f t="shared" si="15"/>
        <v>0</v>
      </c>
      <c r="BO29" s="25">
        <f t="shared" si="15"/>
        <v>0</v>
      </c>
      <c r="BP29" s="25">
        <f t="shared" si="15"/>
        <v>0</v>
      </c>
      <c r="BQ29" s="25">
        <f t="shared" si="15"/>
        <v>0</v>
      </c>
      <c r="BR29" s="25">
        <f t="shared" si="15"/>
        <v>0</v>
      </c>
      <c r="BS29" s="25">
        <f t="shared" si="15"/>
        <v>0</v>
      </c>
      <c r="BT29" s="25">
        <f t="shared" si="15"/>
        <v>0</v>
      </c>
      <c r="BU29" s="25">
        <f t="shared" si="15"/>
        <v>0</v>
      </c>
      <c r="BV29" s="25">
        <f t="shared" si="15"/>
        <v>0</v>
      </c>
      <c r="BW29" s="25">
        <f t="shared" si="15"/>
        <v>0</v>
      </c>
      <c r="BX29" s="25">
        <f t="shared" si="15"/>
        <v>0</v>
      </c>
      <c r="BY29" s="25">
        <f t="shared" si="15"/>
        <v>0</v>
      </c>
      <c r="BZ29" s="25">
        <f t="shared" si="15"/>
        <v>-65848694.208187915</v>
      </c>
      <c r="CA29" s="25">
        <f t="shared" si="15"/>
        <v>0</v>
      </c>
      <c r="CB29" s="25">
        <f t="shared" si="15"/>
        <v>0</v>
      </c>
      <c r="CC29" s="25">
        <f t="shared" si="15"/>
        <v>0</v>
      </c>
      <c r="CD29" s="25">
        <f t="shared" ref="CD29:CT29" si="16">CD17</f>
        <v>0</v>
      </c>
      <c r="CE29" s="25">
        <f t="shared" si="16"/>
        <v>0</v>
      </c>
      <c r="CF29" s="25">
        <f t="shared" si="16"/>
        <v>0</v>
      </c>
      <c r="CG29" s="25">
        <f t="shared" si="16"/>
        <v>0</v>
      </c>
      <c r="CH29" s="25">
        <f t="shared" si="16"/>
        <v>0</v>
      </c>
      <c r="CI29" s="25">
        <f t="shared" si="16"/>
        <v>0</v>
      </c>
      <c r="CJ29" s="25">
        <f t="shared" si="16"/>
        <v>0</v>
      </c>
      <c r="CK29" s="25">
        <f t="shared" si="16"/>
        <v>0</v>
      </c>
      <c r="CL29" s="25">
        <f t="shared" si="16"/>
        <v>0</v>
      </c>
      <c r="CM29" s="25">
        <f t="shared" si="16"/>
        <v>0</v>
      </c>
      <c r="CN29" s="25">
        <f t="shared" si="16"/>
        <v>0</v>
      </c>
      <c r="CO29" s="25">
        <f t="shared" si="16"/>
        <v>0</v>
      </c>
      <c r="CP29" s="25">
        <f t="shared" si="16"/>
        <v>0</v>
      </c>
      <c r="CQ29" s="25">
        <f t="shared" si="16"/>
        <v>0</v>
      </c>
      <c r="CR29" s="25">
        <f t="shared" si="16"/>
        <v>0</v>
      </c>
      <c r="CS29" s="25">
        <f t="shared" si="16"/>
        <v>0</v>
      </c>
      <c r="CT29" s="36">
        <f t="shared" si="16"/>
        <v>0</v>
      </c>
      <c r="CV29" s="103">
        <f>SUM(R29:CT29)</f>
        <v>-1295848694.2081878</v>
      </c>
      <c r="CW29" s="131">
        <f>CV29+CV30</f>
        <v>2874278096.5310049</v>
      </c>
      <c r="CX29" s="133">
        <f>SUM(CW29:CW34)</f>
        <v>3214897968.7936006</v>
      </c>
      <c r="CY29" s="136">
        <f>CX29-E43</f>
        <v>3.6005973815917969E-3</v>
      </c>
    </row>
    <row r="30" spans="2:103" ht="15.75" thickBot="1" x14ac:dyDescent="0.3">
      <c r="B30" s="85" t="s">
        <v>30</v>
      </c>
      <c r="C30" s="9">
        <v>1</v>
      </c>
      <c r="D30" s="9">
        <v>1</v>
      </c>
      <c r="E30" s="10">
        <v>1</v>
      </c>
      <c r="F30" s="10">
        <v>1</v>
      </c>
      <c r="I30" s="151"/>
      <c r="K30" s="24"/>
      <c r="N30" s="119"/>
      <c r="O30" s="154"/>
      <c r="P30" s="123"/>
      <c r="Q30" s="59" t="s">
        <v>42</v>
      </c>
      <c r="R30" s="48">
        <f t="shared" ref="R30:AW30" si="17">R18</f>
        <v>0</v>
      </c>
      <c r="S30" s="37">
        <f t="shared" si="17"/>
        <v>202666666.66666666</v>
      </c>
      <c r="T30" s="37">
        <f t="shared" si="17"/>
        <v>193015873.01587301</v>
      </c>
      <c r="U30" s="37">
        <f t="shared" si="17"/>
        <v>183824640.96749809</v>
      </c>
      <c r="V30" s="37">
        <f t="shared" si="17"/>
        <v>175071086.63571247</v>
      </c>
      <c r="W30" s="37">
        <f t="shared" si="17"/>
        <v>166734368.22448808</v>
      </c>
      <c r="X30" s="37">
        <f t="shared" si="17"/>
        <v>158794636.40427434</v>
      </c>
      <c r="Y30" s="37">
        <f t="shared" si="17"/>
        <v>151232987.05168986</v>
      </c>
      <c r="Z30" s="37">
        <f t="shared" si="17"/>
        <v>144031416.23970464</v>
      </c>
      <c r="AA30" s="37">
        <f t="shared" si="17"/>
        <v>137172777.37114725</v>
      </c>
      <c r="AB30" s="37">
        <f t="shared" si="17"/>
        <v>130640740.35347359</v>
      </c>
      <c r="AC30" s="37">
        <f t="shared" si="17"/>
        <v>124419752.71759388</v>
      </c>
      <c r="AD30" s="37">
        <f t="shared" si="17"/>
        <v>118495002.58818465</v>
      </c>
      <c r="AE30" s="37">
        <f t="shared" si="17"/>
        <v>112852383.4173187</v>
      </c>
      <c r="AF30" s="37">
        <f t="shared" si="17"/>
        <v>107478460.39744642</v>
      </c>
      <c r="AG30" s="37">
        <f t="shared" si="17"/>
        <v>102360438.47375846</v>
      </c>
      <c r="AH30" s="37">
        <f t="shared" si="17"/>
        <v>97486131.879769966</v>
      </c>
      <c r="AI30" s="37">
        <f t="shared" si="17"/>
        <v>92843935.123590425</v>
      </c>
      <c r="AJ30" s="37">
        <f t="shared" si="17"/>
        <v>88422795.355800405</v>
      </c>
      <c r="AK30" s="37">
        <f t="shared" si="17"/>
        <v>84212186.053143248</v>
      </c>
      <c r="AL30" s="37">
        <f t="shared" si="17"/>
        <v>80202081.955374524</v>
      </c>
      <c r="AM30" s="37">
        <f t="shared" si="17"/>
        <v>76382935.195594788</v>
      </c>
      <c r="AN30" s="37">
        <f t="shared" si="17"/>
        <v>72745652.567233145</v>
      </c>
      <c r="AO30" s="37">
        <f t="shared" si="17"/>
        <v>69281573.873555347</v>
      </c>
      <c r="AP30" s="37">
        <f t="shared" si="17"/>
        <v>65982451.308147974</v>
      </c>
      <c r="AQ30" s="37">
        <f t="shared" si="17"/>
        <v>62840429.817283772</v>
      </c>
      <c r="AR30" s="37">
        <f t="shared" si="17"/>
        <v>59848028.397413112</v>
      </c>
      <c r="AS30" s="37">
        <f t="shared" si="17"/>
        <v>56998122.283250585</v>
      </c>
      <c r="AT30" s="37">
        <f t="shared" si="17"/>
        <v>54283925.984048188</v>
      </c>
      <c r="AU30" s="37">
        <f t="shared" si="17"/>
        <v>51698977.127664924</v>
      </c>
      <c r="AV30" s="37">
        <f t="shared" si="17"/>
        <v>49237121.073966607</v>
      </c>
      <c r="AW30" s="37">
        <f t="shared" si="17"/>
        <v>46892496.260920562</v>
      </c>
      <c r="AX30" s="37">
        <f t="shared" ref="AX30:CC30" si="18">AX18</f>
        <v>44659520.24849578</v>
      </c>
      <c r="AY30" s="37">
        <f t="shared" si="18"/>
        <v>42532876.427138835</v>
      </c>
      <c r="AZ30" s="37">
        <f t="shared" si="18"/>
        <v>40507501.359179847</v>
      </c>
      <c r="BA30" s="37">
        <f t="shared" si="18"/>
        <v>38578572.723028421</v>
      </c>
      <c r="BB30" s="37">
        <f t="shared" si="18"/>
        <v>36741497.83145564</v>
      </c>
      <c r="BC30" s="37">
        <f t="shared" si="18"/>
        <v>34991902.696624413</v>
      </c>
      <c r="BD30" s="37">
        <f t="shared" si="18"/>
        <v>33325621.615832787</v>
      </c>
      <c r="BE30" s="37">
        <f t="shared" si="18"/>
        <v>31738687.253174078</v>
      </c>
      <c r="BF30" s="37">
        <f t="shared" si="18"/>
        <v>30227321.193499122</v>
      </c>
      <c r="BG30" s="37">
        <f t="shared" si="18"/>
        <v>28787924.946189638</v>
      </c>
      <c r="BH30" s="37">
        <f t="shared" si="18"/>
        <v>27417071.377323467</v>
      </c>
      <c r="BI30" s="37">
        <f t="shared" si="18"/>
        <v>26111496.549831871</v>
      </c>
      <c r="BJ30" s="37">
        <f t="shared" si="18"/>
        <v>24868091.952220831</v>
      </c>
      <c r="BK30" s="37">
        <f t="shared" si="18"/>
        <v>23683897.097353164</v>
      </c>
      <c r="BL30" s="37">
        <f t="shared" si="18"/>
        <v>22556092.473669685</v>
      </c>
      <c r="BM30" s="37">
        <f t="shared" si="18"/>
        <v>21481992.832066361</v>
      </c>
      <c r="BN30" s="37">
        <f t="shared" si="18"/>
        <v>20459040.792444158</v>
      </c>
      <c r="BO30" s="37">
        <f t="shared" si="18"/>
        <v>19484800.754708722</v>
      </c>
      <c r="BP30" s="37">
        <f t="shared" si="18"/>
        <v>18556953.09972259</v>
      </c>
      <c r="BQ30" s="37">
        <f t="shared" si="18"/>
        <v>17673288.666402467</v>
      </c>
      <c r="BR30" s="37">
        <f t="shared" si="18"/>
        <v>16831703.491811872</v>
      </c>
      <c r="BS30" s="37">
        <f t="shared" si="18"/>
        <v>16030193.801725592</v>
      </c>
      <c r="BT30" s="37">
        <f t="shared" si="18"/>
        <v>15266851.239738664</v>
      </c>
      <c r="BU30" s="37">
        <f t="shared" si="18"/>
        <v>14539858.323560627</v>
      </c>
      <c r="BV30" s="37">
        <f t="shared" si="18"/>
        <v>13847484.117676791</v>
      </c>
      <c r="BW30" s="37">
        <f t="shared" si="18"/>
        <v>13188080.112073133</v>
      </c>
      <c r="BX30" s="37">
        <f t="shared" si="18"/>
        <v>12560076.297212506</v>
      </c>
      <c r="BY30" s="37">
        <f t="shared" si="18"/>
        <v>11961977.425916672</v>
      </c>
      <c r="BZ30" s="37">
        <f t="shared" si="18"/>
        <v>11392359.453253975</v>
      </c>
      <c r="CA30" s="37">
        <f t="shared" si="18"/>
        <v>10849866.145956164</v>
      </c>
      <c r="CB30" s="37">
        <f t="shared" si="18"/>
        <v>10333205.85329159</v>
      </c>
      <c r="CC30" s="37">
        <f t="shared" si="18"/>
        <v>9841148.4317062721</v>
      </c>
      <c r="CD30" s="37">
        <f t="shared" ref="CD30:CT30" si="19">CD18</f>
        <v>9372522.3159107342</v>
      </c>
      <c r="CE30" s="37">
        <f t="shared" si="19"/>
        <v>8926211.7294387948</v>
      </c>
      <c r="CF30" s="37">
        <f t="shared" si="19"/>
        <v>8501154.0280369464</v>
      </c>
      <c r="CG30" s="37">
        <f t="shared" si="19"/>
        <v>8096337.1695589973</v>
      </c>
      <c r="CH30" s="37">
        <f t="shared" si="19"/>
        <v>7710797.304341903</v>
      </c>
      <c r="CI30" s="37">
        <f t="shared" si="19"/>
        <v>7343616.4803256206</v>
      </c>
      <c r="CJ30" s="37">
        <f t="shared" si="19"/>
        <v>6993920.4574529743</v>
      </c>
      <c r="CK30" s="37">
        <f t="shared" si="19"/>
        <v>6660876.6261456879</v>
      </c>
      <c r="CL30" s="37">
        <f t="shared" si="19"/>
        <v>6343692.0249006553</v>
      </c>
      <c r="CM30" s="37">
        <f t="shared" si="19"/>
        <v>6041611.4522863384</v>
      </c>
      <c r="CN30" s="37">
        <f t="shared" si="19"/>
        <v>5753915.6688441327</v>
      </c>
      <c r="CO30" s="37">
        <f t="shared" si="19"/>
        <v>5479919.6846134588</v>
      </c>
      <c r="CP30" s="37">
        <f t="shared" si="19"/>
        <v>5218971.1282032952</v>
      </c>
      <c r="CQ30" s="37">
        <f t="shared" si="19"/>
        <v>4970448.693526946</v>
      </c>
      <c r="CR30" s="37">
        <f t="shared" si="19"/>
        <v>4733760.6605018554</v>
      </c>
      <c r="CS30" s="37">
        <f t="shared" si="19"/>
        <v>4508343.4861922413</v>
      </c>
      <c r="CT30" s="38">
        <f t="shared" si="19"/>
        <v>4293660.4630402299</v>
      </c>
      <c r="CV30" s="104">
        <f>SUM(R30:CT30)</f>
        <v>4170126790.739193</v>
      </c>
      <c r="CW30" s="132"/>
      <c r="CX30" s="134"/>
      <c r="CY30" s="137"/>
    </row>
    <row r="31" spans="2:103" x14ac:dyDescent="0.25">
      <c r="B31" s="85" t="s">
        <v>31</v>
      </c>
      <c r="C31" s="9" t="s">
        <v>11</v>
      </c>
      <c r="D31" s="9" t="s">
        <v>11</v>
      </c>
      <c r="E31" s="10" t="s">
        <v>11</v>
      </c>
      <c r="F31" s="10" t="s">
        <v>11</v>
      </c>
      <c r="I31" s="151"/>
      <c r="K31" s="93" t="s">
        <v>60</v>
      </c>
      <c r="L31" s="8">
        <v>40</v>
      </c>
      <c r="N31" s="119"/>
      <c r="O31" s="154"/>
      <c r="P31" s="128" t="s">
        <v>55</v>
      </c>
      <c r="Q31" s="57" t="s">
        <v>45</v>
      </c>
      <c r="R31" s="49">
        <v>0</v>
      </c>
      <c r="S31" s="63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78">
        <v>1</v>
      </c>
      <c r="AH31" s="105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0</v>
      </c>
      <c r="CL31" s="30">
        <v>0</v>
      </c>
      <c r="CM31" s="30">
        <v>0</v>
      </c>
      <c r="CN31" s="30">
        <v>0</v>
      </c>
      <c r="CO31" s="30">
        <v>0</v>
      </c>
      <c r="CP31" s="30">
        <v>0</v>
      </c>
      <c r="CQ31" s="30">
        <v>0</v>
      </c>
      <c r="CR31" s="30">
        <v>0</v>
      </c>
      <c r="CS31" s="30">
        <v>0</v>
      </c>
      <c r="CT31" s="64">
        <v>0</v>
      </c>
      <c r="CV31" s="23"/>
      <c r="CW31" s="23"/>
      <c r="CX31" s="134"/>
      <c r="CY31" s="137"/>
    </row>
    <row r="32" spans="2:103" ht="15.75" thickBot="1" x14ac:dyDescent="0.3">
      <c r="B32" s="85" t="s">
        <v>32</v>
      </c>
      <c r="C32" s="9" t="b">
        <v>0</v>
      </c>
      <c r="D32" s="9" t="b">
        <v>0</v>
      </c>
      <c r="E32" s="10" t="b">
        <v>0</v>
      </c>
      <c r="F32" s="10" t="b">
        <v>0</v>
      </c>
      <c r="I32" s="151"/>
      <c r="K32" s="94" t="s">
        <v>61</v>
      </c>
      <c r="L32" s="96">
        <v>-25</v>
      </c>
      <c r="N32" s="119"/>
      <c r="O32" s="154"/>
      <c r="P32" s="129"/>
      <c r="Q32" s="57" t="s">
        <v>46</v>
      </c>
      <c r="R32" s="110">
        <v>0</v>
      </c>
      <c r="S32" s="76">
        <v>1</v>
      </c>
      <c r="T32" s="77">
        <v>1</v>
      </c>
      <c r="U32" s="77">
        <v>1</v>
      </c>
      <c r="V32" s="77">
        <v>1</v>
      </c>
      <c r="W32" s="77">
        <v>1</v>
      </c>
      <c r="X32" s="77">
        <v>1</v>
      </c>
      <c r="Y32" s="77">
        <v>1</v>
      </c>
      <c r="Z32" s="77">
        <v>1</v>
      </c>
      <c r="AA32" s="77">
        <v>1</v>
      </c>
      <c r="AB32" s="77">
        <v>1</v>
      </c>
      <c r="AC32" s="77">
        <v>1</v>
      </c>
      <c r="AD32" s="77">
        <v>1</v>
      </c>
      <c r="AE32" s="77">
        <v>1</v>
      </c>
      <c r="AF32" s="77">
        <v>1</v>
      </c>
      <c r="AG32" s="77">
        <v>1</v>
      </c>
      <c r="AH32" s="78">
        <v>1</v>
      </c>
      <c r="AI32" s="77">
        <v>1</v>
      </c>
      <c r="AJ32" s="77">
        <v>1</v>
      </c>
      <c r="AK32" s="77">
        <v>1</v>
      </c>
      <c r="AL32" s="77">
        <v>1</v>
      </c>
      <c r="AM32" s="77">
        <v>1</v>
      </c>
      <c r="AN32" s="77">
        <v>1</v>
      </c>
      <c r="AO32" s="77">
        <v>1</v>
      </c>
      <c r="AP32" s="77">
        <v>1</v>
      </c>
      <c r="AQ32" s="77">
        <v>1</v>
      </c>
      <c r="AR32" s="77">
        <v>1</v>
      </c>
      <c r="AS32" s="77">
        <v>1</v>
      </c>
      <c r="AT32" s="77">
        <v>1</v>
      </c>
      <c r="AU32" s="77">
        <v>1</v>
      </c>
      <c r="AV32" s="77">
        <v>1</v>
      </c>
      <c r="AW32" s="77">
        <v>1</v>
      </c>
      <c r="AX32" s="77">
        <v>1</v>
      </c>
      <c r="AY32" s="77">
        <v>1</v>
      </c>
      <c r="AZ32" s="77">
        <v>1</v>
      </c>
      <c r="BA32" s="77">
        <v>1</v>
      </c>
      <c r="BB32" s="77">
        <v>1</v>
      </c>
      <c r="BC32" s="77">
        <v>1</v>
      </c>
      <c r="BD32" s="77">
        <v>1</v>
      </c>
      <c r="BE32" s="77">
        <v>1</v>
      </c>
      <c r="BF32" s="77">
        <v>1</v>
      </c>
      <c r="BG32" s="77">
        <v>1</v>
      </c>
      <c r="BH32" s="77">
        <v>1</v>
      </c>
      <c r="BI32" s="77">
        <v>1</v>
      </c>
      <c r="BJ32" s="77">
        <v>1</v>
      </c>
      <c r="BK32" s="77">
        <v>1</v>
      </c>
      <c r="BL32" s="77">
        <v>1</v>
      </c>
      <c r="BM32" s="77">
        <v>1</v>
      </c>
      <c r="BN32" s="77">
        <v>1</v>
      </c>
      <c r="BO32" s="77">
        <v>1</v>
      </c>
      <c r="BP32" s="77">
        <v>1</v>
      </c>
      <c r="BQ32" s="77">
        <v>1</v>
      </c>
      <c r="BR32" s="77">
        <v>1</v>
      </c>
      <c r="BS32" s="77">
        <v>1</v>
      </c>
      <c r="BT32" s="77">
        <v>1</v>
      </c>
      <c r="BU32" s="77">
        <v>1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  <c r="CF32" s="30">
        <v>0</v>
      </c>
      <c r="CG32" s="30">
        <v>0</v>
      </c>
      <c r="CH32" s="30">
        <v>0</v>
      </c>
      <c r="CI32" s="30">
        <v>0</v>
      </c>
      <c r="CJ32" s="30">
        <v>0</v>
      </c>
      <c r="CK32" s="30">
        <v>0</v>
      </c>
      <c r="CL32" s="30">
        <v>0</v>
      </c>
      <c r="CM32" s="30">
        <v>0</v>
      </c>
      <c r="CN32" s="30">
        <v>0</v>
      </c>
      <c r="CO32" s="30">
        <v>0</v>
      </c>
      <c r="CP32" s="30">
        <v>0</v>
      </c>
      <c r="CQ32" s="30">
        <v>0</v>
      </c>
      <c r="CR32" s="30">
        <v>0</v>
      </c>
      <c r="CS32" s="30">
        <v>0</v>
      </c>
      <c r="CT32" s="64">
        <v>0</v>
      </c>
      <c r="CV32" s="23"/>
      <c r="CW32" s="23"/>
      <c r="CX32" s="134"/>
      <c r="CY32" s="137"/>
    </row>
    <row r="33" spans="2:103" ht="15.75" thickBot="1" x14ac:dyDescent="0.3">
      <c r="B33" s="85" t="s">
        <v>33</v>
      </c>
      <c r="C33" s="9">
        <v>1</v>
      </c>
      <c r="D33" s="9">
        <v>1</v>
      </c>
      <c r="E33" s="10">
        <v>1</v>
      </c>
      <c r="F33" s="10">
        <v>1</v>
      </c>
      <c r="I33" s="152"/>
      <c r="K33" s="95" t="s">
        <v>62</v>
      </c>
      <c r="L33" s="97">
        <v>2</v>
      </c>
      <c r="N33" s="119"/>
      <c r="O33" s="154"/>
      <c r="P33" s="129"/>
      <c r="Q33" s="58" t="s">
        <v>43</v>
      </c>
      <c r="R33" s="47">
        <f>$E$27*$E$28/$E$29*R13*R31</f>
        <v>0</v>
      </c>
      <c r="S33" s="25">
        <f t="shared" ref="S33:AW33" si="20">$E$27*$E$28/$E$29*S13*S31</f>
        <v>0</v>
      </c>
      <c r="T33" s="25">
        <f>$E$27*$E$28/$E$29*T$13*T31</f>
        <v>0</v>
      </c>
      <c r="U33" s="25">
        <f t="shared" si="20"/>
        <v>0</v>
      </c>
      <c r="V33" s="25">
        <f t="shared" si="20"/>
        <v>0</v>
      </c>
      <c r="W33" s="25">
        <f t="shared" si="20"/>
        <v>0</v>
      </c>
      <c r="X33" s="25">
        <f t="shared" si="20"/>
        <v>0</v>
      </c>
      <c r="Y33" s="25">
        <f t="shared" si="20"/>
        <v>0</v>
      </c>
      <c r="Z33" s="25">
        <f t="shared" si="20"/>
        <v>0</v>
      </c>
      <c r="AA33" s="25">
        <f t="shared" si="20"/>
        <v>0</v>
      </c>
      <c r="AB33" s="25">
        <f t="shared" si="20"/>
        <v>0</v>
      </c>
      <c r="AC33" s="25">
        <f t="shared" si="20"/>
        <v>0</v>
      </c>
      <c r="AD33" s="25">
        <f t="shared" si="20"/>
        <v>0</v>
      </c>
      <c r="AE33" s="25">
        <f t="shared" si="20"/>
        <v>0</v>
      </c>
      <c r="AF33" s="25">
        <f t="shared" si="20"/>
        <v>0</v>
      </c>
      <c r="AG33" s="25">
        <f t="shared" si="20"/>
        <v>-16248382.754994983</v>
      </c>
      <c r="AH33" s="25">
        <f t="shared" si="20"/>
        <v>0</v>
      </c>
      <c r="AI33" s="25">
        <f t="shared" si="20"/>
        <v>0</v>
      </c>
      <c r="AJ33" s="25">
        <f t="shared" si="20"/>
        <v>0</v>
      </c>
      <c r="AK33" s="25">
        <f t="shared" si="20"/>
        <v>0</v>
      </c>
      <c r="AL33" s="25">
        <f t="shared" si="20"/>
        <v>0</v>
      </c>
      <c r="AM33" s="25">
        <f t="shared" si="20"/>
        <v>0</v>
      </c>
      <c r="AN33" s="25">
        <f t="shared" si="20"/>
        <v>0</v>
      </c>
      <c r="AO33" s="25">
        <f t="shared" si="20"/>
        <v>0</v>
      </c>
      <c r="AP33" s="25">
        <f t="shared" si="20"/>
        <v>0</v>
      </c>
      <c r="AQ33" s="25">
        <f t="shared" si="20"/>
        <v>0</v>
      </c>
      <c r="AR33" s="25">
        <f t="shared" si="20"/>
        <v>0</v>
      </c>
      <c r="AS33" s="25">
        <f t="shared" si="20"/>
        <v>0</v>
      </c>
      <c r="AT33" s="25">
        <f t="shared" si="20"/>
        <v>0</v>
      </c>
      <c r="AU33" s="25">
        <f t="shared" si="20"/>
        <v>0</v>
      </c>
      <c r="AV33" s="25">
        <f t="shared" si="20"/>
        <v>0</v>
      </c>
      <c r="AW33" s="25">
        <f t="shared" si="20"/>
        <v>0</v>
      </c>
      <c r="AX33" s="25">
        <f t="shared" ref="AX33:CC33" si="21">$E$27*$E$28/$E$29*AX13*AX31</f>
        <v>0</v>
      </c>
      <c r="AY33" s="25">
        <f t="shared" si="21"/>
        <v>0</v>
      </c>
      <c r="AZ33" s="25">
        <f t="shared" si="21"/>
        <v>0</v>
      </c>
      <c r="BA33" s="25">
        <f t="shared" si="21"/>
        <v>0</v>
      </c>
      <c r="BB33" s="25">
        <f t="shared" si="21"/>
        <v>0</v>
      </c>
      <c r="BC33" s="25">
        <f t="shared" si="21"/>
        <v>0</v>
      </c>
      <c r="BD33" s="25">
        <f t="shared" si="21"/>
        <v>0</v>
      </c>
      <c r="BE33" s="25">
        <f t="shared" si="21"/>
        <v>0</v>
      </c>
      <c r="BF33" s="25">
        <f t="shared" si="21"/>
        <v>0</v>
      </c>
      <c r="BG33" s="25">
        <f t="shared" si="21"/>
        <v>0</v>
      </c>
      <c r="BH33" s="25">
        <f t="shared" si="21"/>
        <v>0</v>
      </c>
      <c r="BI33" s="25">
        <f t="shared" si="21"/>
        <v>0</v>
      </c>
      <c r="BJ33" s="25">
        <f t="shared" si="21"/>
        <v>0</v>
      </c>
      <c r="BK33" s="25">
        <f t="shared" si="21"/>
        <v>0</v>
      </c>
      <c r="BL33" s="25">
        <f t="shared" si="21"/>
        <v>0</v>
      </c>
      <c r="BM33" s="25">
        <f t="shared" si="21"/>
        <v>0</v>
      </c>
      <c r="BN33" s="25">
        <f t="shared" si="21"/>
        <v>0</v>
      </c>
      <c r="BO33" s="25">
        <f t="shared" si="21"/>
        <v>0</v>
      </c>
      <c r="BP33" s="25">
        <f t="shared" si="21"/>
        <v>0</v>
      </c>
      <c r="BQ33" s="25">
        <f t="shared" si="21"/>
        <v>0</v>
      </c>
      <c r="BR33" s="25">
        <f t="shared" si="21"/>
        <v>0</v>
      </c>
      <c r="BS33" s="25">
        <f t="shared" si="21"/>
        <v>0</v>
      </c>
      <c r="BT33" s="25">
        <f t="shared" si="21"/>
        <v>0</v>
      </c>
      <c r="BU33" s="25">
        <f t="shared" si="21"/>
        <v>0</v>
      </c>
      <c r="BV33" s="25">
        <f t="shared" si="21"/>
        <v>0</v>
      </c>
      <c r="BW33" s="25">
        <f t="shared" si="21"/>
        <v>0</v>
      </c>
      <c r="BX33" s="25">
        <f t="shared" si="21"/>
        <v>0</v>
      </c>
      <c r="BY33" s="25">
        <f t="shared" si="21"/>
        <v>0</v>
      </c>
      <c r="BZ33" s="25">
        <f t="shared" si="21"/>
        <v>0</v>
      </c>
      <c r="CA33" s="25">
        <f t="shared" si="21"/>
        <v>0</v>
      </c>
      <c r="CB33" s="25">
        <f t="shared" si="21"/>
        <v>0</v>
      </c>
      <c r="CC33" s="25">
        <f t="shared" si="21"/>
        <v>0</v>
      </c>
      <c r="CD33" s="25">
        <f t="shared" ref="CD33:CT33" si="22">$E$27*$E$28/$E$29*CD13*CD31</f>
        <v>0</v>
      </c>
      <c r="CE33" s="25">
        <f t="shared" si="22"/>
        <v>0</v>
      </c>
      <c r="CF33" s="25">
        <f t="shared" si="22"/>
        <v>0</v>
      </c>
      <c r="CG33" s="25">
        <f t="shared" si="22"/>
        <v>0</v>
      </c>
      <c r="CH33" s="25">
        <f t="shared" si="22"/>
        <v>0</v>
      </c>
      <c r="CI33" s="25">
        <f t="shared" si="22"/>
        <v>0</v>
      </c>
      <c r="CJ33" s="25">
        <f t="shared" si="22"/>
        <v>0</v>
      </c>
      <c r="CK33" s="25">
        <f t="shared" si="22"/>
        <v>0</v>
      </c>
      <c r="CL33" s="25">
        <f t="shared" si="22"/>
        <v>0</v>
      </c>
      <c r="CM33" s="25">
        <f t="shared" si="22"/>
        <v>0</v>
      </c>
      <c r="CN33" s="25">
        <f t="shared" si="22"/>
        <v>0</v>
      </c>
      <c r="CO33" s="25">
        <f t="shared" si="22"/>
        <v>0</v>
      </c>
      <c r="CP33" s="25">
        <f t="shared" si="22"/>
        <v>0</v>
      </c>
      <c r="CQ33" s="25">
        <f t="shared" si="22"/>
        <v>0</v>
      </c>
      <c r="CR33" s="25">
        <f t="shared" si="22"/>
        <v>0</v>
      </c>
      <c r="CS33" s="25">
        <f t="shared" si="22"/>
        <v>0</v>
      </c>
      <c r="CT33" s="36">
        <f t="shared" si="22"/>
        <v>0</v>
      </c>
      <c r="CV33" s="103">
        <f t="shared" ref="CV33:CV34" si="23">SUM(R33:CT33)</f>
        <v>-16248382.754994983</v>
      </c>
      <c r="CW33" s="139">
        <f t="shared" ref="CW33" si="24">CV33+CV34</f>
        <v>340619872.26259583</v>
      </c>
      <c r="CX33" s="134"/>
      <c r="CY33" s="137"/>
    </row>
    <row r="34" spans="2:103" ht="15.75" thickBot="1" x14ac:dyDescent="0.3">
      <c r="B34" s="85" t="s">
        <v>34</v>
      </c>
      <c r="C34" s="15">
        <f>C41</f>
        <v>31500000</v>
      </c>
      <c r="D34" s="15">
        <f>D41</f>
        <v>31500000</v>
      </c>
      <c r="E34" s="16">
        <f>E41</f>
        <v>31500000</v>
      </c>
      <c r="F34" s="16">
        <f>F41</f>
        <v>31500000</v>
      </c>
      <c r="N34" s="120"/>
      <c r="O34" s="155"/>
      <c r="P34" s="130"/>
      <c r="Q34" s="59" t="s">
        <v>44</v>
      </c>
      <c r="R34" s="48">
        <f>$E$33*$E$34*R$12*R$13*R32</f>
        <v>0</v>
      </c>
      <c r="S34" s="37">
        <f t="shared" ref="S34:AW34" si="25">$E$33*$E$34*S12*S13*S32</f>
        <v>18240000</v>
      </c>
      <c r="T34" s="37">
        <f t="shared" si="25"/>
        <v>17371428.571428571</v>
      </c>
      <c r="U34" s="37">
        <f t="shared" si="25"/>
        <v>16544217.687074829</v>
      </c>
      <c r="V34" s="37">
        <f t="shared" si="25"/>
        <v>15756397.797214122</v>
      </c>
      <c r="W34" s="37">
        <f t="shared" si="25"/>
        <v>15006093.140203927</v>
      </c>
      <c r="X34" s="37">
        <f t="shared" si="25"/>
        <v>14291517.276384693</v>
      </c>
      <c r="Y34" s="37">
        <f t="shared" si="25"/>
        <v>13610968.834652087</v>
      </c>
      <c r="Z34" s="37">
        <f t="shared" si="25"/>
        <v>12962827.461573418</v>
      </c>
      <c r="AA34" s="37">
        <f t="shared" si="25"/>
        <v>12345549.963403253</v>
      </c>
      <c r="AB34" s="37">
        <f t="shared" si="25"/>
        <v>11757666.631812623</v>
      </c>
      <c r="AC34" s="37">
        <f t="shared" si="25"/>
        <v>11197777.744583448</v>
      </c>
      <c r="AD34" s="37">
        <f t="shared" si="25"/>
        <v>10664550.232936619</v>
      </c>
      <c r="AE34" s="37">
        <f t="shared" si="25"/>
        <v>10156714.507558683</v>
      </c>
      <c r="AF34" s="37">
        <f t="shared" si="25"/>
        <v>9673061.4357701782</v>
      </c>
      <c r="AG34" s="37">
        <f t="shared" si="25"/>
        <v>9212439.4626382608</v>
      </c>
      <c r="AH34" s="37">
        <f t="shared" si="25"/>
        <v>8773751.8691792972</v>
      </c>
      <c r="AI34" s="37">
        <f t="shared" si="25"/>
        <v>8355954.1611231389</v>
      </c>
      <c r="AJ34" s="37">
        <f t="shared" si="25"/>
        <v>7958051.5820220374</v>
      </c>
      <c r="AK34" s="37">
        <f t="shared" si="25"/>
        <v>7579096.7447828921</v>
      </c>
      <c r="AL34" s="37">
        <f t="shared" si="25"/>
        <v>7218187.3759837076</v>
      </c>
      <c r="AM34" s="37">
        <f t="shared" si="25"/>
        <v>6874464.1676035309</v>
      </c>
      <c r="AN34" s="37">
        <f t="shared" si="25"/>
        <v>6547108.7310509831</v>
      </c>
      <c r="AO34" s="37">
        <f t="shared" si="25"/>
        <v>6235341.6486199815</v>
      </c>
      <c r="AP34" s="37">
        <f t="shared" si="25"/>
        <v>5938420.6177333174</v>
      </c>
      <c r="AQ34" s="37">
        <f t="shared" si="25"/>
        <v>5655638.6835555397</v>
      </c>
      <c r="AR34" s="37">
        <f t="shared" si="25"/>
        <v>5386322.5557671804</v>
      </c>
      <c r="AS34" s="37">
        <f t="shared" si="25"/>
        <v>5129831.0054925522</v>
      </c>
      <c r="AT34" s="37">
        <f t="shared" si="25"/>
        <v>4885553.3385643372</v>
      </c>
      <c r="AU34" s="37">
        <f t="shared" si="25"/>
        <v>4652907.9414898437</v>
      </c>
      <c r="AV34" s="37">
        <f t="shared" si="25"/>
        <v>4431340.8966569947</v>
      </c>
      <c r="AW34" s="37">
        <f t="shared" si="25"/>
        <v>4220324.6634828504</v>
      </c>
      <c r="AX34" s="37">
        <f t="shared" ref="AX34:CC34" si="26">$E$33*$E$34*AX12*AX13*AX32</f>
        <v>4019356.8223646199</v>
      </c>
      <c r="AY34" s="37">
        <f t="shared" si="26"/>
        <v>3827958.8784424956</v>
      </c>
      <c r="AZ34" s="37">
        <f t="shared" si="26"/>
        <v>3645675.1223261864</v>
      </c>
      <c r="BA34" s="37">
        <f t="shared" si="26"/>
        <v>3472071.5450725579</v>
      </c>
      <c r="BB34" s="37">
        <f t="shared" si="26"/>
        <v>3306734.804831008</v>
      </c>
      <c r="BC34" s="37">
        <f t="shared" si="26"/>
        <v>3149271.2426961972</v>
      </c>
      <c r="BD34" s="37">
        <f t="shared" si="26"/>
        <v>2999305.9454249507</v>
      </c>
      <c r="BE34" s="37">
        <f t="shared" si="26"/>
        <v>2856481.8527856669</v>
      </c>
      <c r="BF34" s="37">
        <f t="shared" si="26"/>
        <v>2720458.9074149211</v>
      </c>
      <c r="BG34" s="37">
        <f t="shared" si="26"/>
        <v>2590913.2451570677</v>
      </c>
      <c r="BH34" s="37">
        <f t="shared" si="26"/>
        <v>2467536.4239591123</v>
      </c>
      <c r="BI34" s="37">
        <f t="shared" si="26"/>
        <v>2350034.6894848682</v>
      </c>
      <c r="BJ34" s="37">
        <f t="shared" si="26"/>
        <v>2238128.2756998749</v>
      </c>
      <c r="BK34" s="37">
        <f t="shared" si="26"/>
        <v>2131550.738761785</v>
      </c>
      <c r="BL34" s="37">
        <f t="shared" si="26"/>
        <v>2030048.3226302718</v>
      </c>
      <c r="BM34" s="37">
        <f t="shared" si="26"/>
        <v>1933379.3548859726</v>
      </c>
      <c r="BN34" s="37">
        <f t="shared" si="26"/>
        <v>1841313.6713199741</v>
      </c>
      <c r="BO34" s="37">
        <f t="shared" si="26"/>
        <v>1753632.067923785</v>
      </c>
      <c r="BP34" s="37">
        <f t="shared" si="26"/>
        <v>1670125.778975033</v>
      </c>
      <c r="BQ34" s="37">
        <f t="shared" si="26"/>
        <v>1590595.9799762219</v>
      </c>
      <c r="BR34" s="37">
        <f t="shared" si="26"/>
        <v>1514853.3142630686</v>
      </c>
      <c r="BS34" s="37">
        <f t="shared" si="26"/>
        <v>1442717.4421553034</v>
      </c>
      <c r="BT34" s="37">
        <f t="shared" si="26"/>
        <v>1374016.6115764796</v>
      </c>
      <c r="BU34" s="37">
        <f t="shared" si="26"/>
        <v>1308587.2491204564</v>
      </c>
      <c r="BV34" s="37">
        <f t="shared" si="26"/>
        <v>0</v>
      </c>
      <c r="BW34" s="37">
        <f t="shared" si="26"/>
        <v>0</v>
      </c>
      <c r="BX34" s="37">
        <f t="shared" si="26"/>
        <v>0</v>
      </c>
      <c r="BY34" s="37">
        <f t="shared" si="26"/>
        <v>0</v>
      </c>
      <c r="BZ34" s="37">
        <f t="shared" si="26"/>
        <v>0</v>
      </c>
      <c r="CA34" s="37">
        <f t="shared" si="26"/>
        <v>0</v>
      </c>
      <c r="CB34" s="37">
        <f t="shared" si="26"/>
        <v>0</v>
      </c>
      <c r="CC34" s="37">
        <f t="shared" si="26"/>
        <v>0</v>
      </c>
      <c r="CD34" s="37">
        <f t="shared" ref="CD34:CT34" si="27">$E$33*$E$34*CD12*CD13*CD32</f>
        <v>0</v>
      </c>
      <c r="CE34" s="37">
        <f t="shared" si="27"/>
        <v>0</v>
      </c>
      <c r="CF34" s="37">
        <f t="shared" si="27"/>
        <v>0</v>
      </c>
      <c r="CG34" s="37">
        <f t="shared" si="27"/>
        <v>0</v>
      </c>
      <c r="CH34" s="37">
        <f t="shared" si="27"/>
        <v>0</v>
      </c>
      <c r="CI34" s="37">
        <f t="shared" si="27"/>
        <v>0</v>
      </c>
      <c r="CJ34" s="37">
        <f t="shared" si="27"/>
        <v>0</v>
      </c>
      <c r="CK34" s="37">
        <f t="shared" si="27"/>
        <v>0</v>
      </c>
      <c r="CL34" s="37">
        <f t="shared" si="27"/>
        <v>0</v>
      </c>
      <c r="CM34" s="37">
        <f t="shared" si="27"/>
        <v>0</v>
      </c>
      <c r="CN34" s="37">
        <f t="shared" si="27"/>
        <v>0</v>
      </c>
      <c r="CO34" s="37">
        <f t="shared" si="27"/>
        <v>0</v>
      </c>
      <c r="CP34" s="37">
        <f t="shared" si="27"/>
        <v>0</v>
      </c>
      <c r="CQ34" s="37">
        <f t="shared" si="27"/>
        <v>0</v>
      </c>
      <c r="CR34" s="37">
        <f t="shared" si="27"/>
        <v>0</v>
      </c>
      <c r="CS34" s="37">
        <f t="shared" si="27"/>
        <v>0</v>
      </c>
      <c r="CT34" s="38">
        <f t="shared" si="27"/>
        <v>0</v>
      </c>
      <c r="CV34" s="104">
        <f t="shared" si="23"/>
        <v>356868255.01759082</v>
      </c>
      <c r="CW34" s="140"/>
      <c r="CX34" s="135"/>
      <c r="CY34" s="138"/>
    </row>
    <row r="35" spans="2:103" x14ac:dyDescent="0.25">
      <c r="B35" s="85" t="s">
        <v>35</v>
      </c>
      <c r="C35" s="9" t="s">
        <v>11</v>
      </c>
      <c r="D35" s="9" t="s">
        <v>11</v>
      </c>
      <c r="E35" s="10" t="s">
        <v>11</v>
      </c>
      <c r="F35" s="10" t="s">
        <v>11</v>
      </c>
    </row>
    <row r="36" spans="2:103" ht="15.75" thickBot="1" x14ac:dyDescent="0.3">
      <c r="B36" s="86" t="s">
        <v>36</v>
      </c>
      <c r="C36" s="11" t="b">
        <v>1</v>
      </c>
      <c r="D36" s="11" t="b">
        <v>1</v>
      </c>
      <c r="E36" s="12" t="b">
        <v>1</v>
      </c>
      <c r="F36" s="12" t="b">
        <v>1</v>
      </c>
    </row>
    <row r="37" spans="2:103" ht="15.75" thickBot="1" x14ac:dyDescent="0.3"/>
    <row r="38" spans="2:103" ht="15.75" thickBot="1" x14ac:dyDescent="0.3">
      <c r="B38" s="4" t="s">
        <v>0</v>
      </c>
      <c r="C38" s="17">
        <v>300000000</v>
      </c>
      <c r="D38" s="18">
        <v>300000000</v>
      </c>
      <c r="E38" s="19">
        <v>300000000</v>
      </c>
      <c r="F38" s="19">
        <v>300000000</v>
      </c>
    </row>
    <row r="39" spans="2:103" ht="15" customHeight="1" x14ac:dyDescent="0.25">
      <c r="B39" s="5" t="s">
        <v>1</v>
      </c>
      <c r="C39" s="20">
        <v>350000000</v>
      </c>
      <c r="D39" s="15">
        <v>350000000</v>
      </c>
      <c r="E39" s="16">
        <v>350000000</v>
      </c>
      <c r="F39" s="16">
        <v>350000000</v>
      </c>
      <c r="I39" s="150" t="s">
        <v>73</v>
      </c>
      <c r="K39" s="90" t="s">
        <v>60</v>
      </c>
      <c r="L39" s="87">
        <v>60</v>
      </c>
      <c r="N39" s="118" t="s">
        <v>70</v>
      </c>
      <c r="O39" s="153" t="s">
        <v>67</v>
      </c>
      <c r="P39" s="121" t="s">
        <v>54</v>
      </c>
      <c r="Q39" s="56" t="s">
        <v>45</v>
      </c>
      <c r="R39" s="39">
        <v>0</v>
      </c>
      <c r="S39" s="39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</v>
      </c>
      <c r="AO39" s="34">
        <v>0</v>
      </c>
      <c r="AP39" s="34">
        <v>0</v>
      </c>
      <c r="AQ39" s="34">
        <v>0</v>
      </c>
      <c r="AR39" s="34">
        <v>0</v>
      </c>
      <c r="AS39" s="34">
        <v>0</v>
      </c>
      <c r="AT39" s="34">
        <v>0</v>
      </c>
      <c r="AU39" s="34">
        <v>0</v>
      </c>
      <c r="AV39" s="34">
        <v>0</v>
      </c>
      <c r="AW39" s="34">
        <v>0</v>
      </c>
      <c r="AX39" s="34">
        <v>0</v>
      </c>
      <c r="AY39" s="34">
        <v>0</v>
      </c>
      <c r="AZ39" s="34">
        <v>0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0</v>
      </c>
      <c r="BN39" s="34">
        <v>0</v>
      </c>
      <c r="BO39" s="34">
        <v>0</v>
      </c>
      <c r="BP39" s="74">
        <v>1</v>
      </c>
      <c r="BQ39" s="34">
        <v>0</v>
      </c>
      <c r="BR39" s="34">
        <v>0</v>
      </c>
      <c r="BS39" s="34">
        <v>0</v>
      </c>
      <c r="BT39" s="34">
        <v>0</v>
      </c>
      <c r="BU39" s="34">
        <v>0</v>
      </c>
      <c r="BV39" s="34">
        <v>0</v>
      </c>
      <c r="BW39" s="34">
        <v>0</v>
      </c>
      <c r="BX39" s="34">
        <v>0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0</v>
      </c>
      <c r="CF39" s="34">
        <v>0</v>
      </c>
      <c r="CG39" s="34">
        <v>0</v>
      </c>
      <c r="CH39" s="34">
        <v>0</v>
      </c>
      <c r="CI39" s="34">
        <v>0</v>
      </c>
      <c r="CJ39" s="34">
        <v>0</v>
      </c>
      <c r="CK39" s="34">
        <v>0</v>
      </c>
      <c r="CL39" s="34">
        <v>0</v>
      </c>
      <c r="CM39" s="34">
        <v>0</v>
      </c>
      <c r="CN39" s="34">
        <v>0</v>
      </c>
      <c r="CO39" s="34">
        <v>0</v>
      </c>
      <c r="CP39" s="34">
        <v>0</v>
      </c>
      <c r="CQ39" s="34">
        <v>0</v>
      </c>
      <c r="CR39" s="34">
        <v>0</v>
      </c>
      <c r="CS39" s="34">
        <v>0</v>
      </c>
      <c r="CT39" s="35">
        <v>0</v>
      </c>
    </row>
    <row r="40" spans="2:103" ht="15.75" thickBot="1" x14ac:dyDescent="0.3">
      <c r="B40" s="5" t="s">
        <v>2</v>
      </c>
      <c r="C40" s="20">
        <v>51000000</v>
      </c>
      <c r="D40" s="15">
        <v>51000000</v>
      </c>
      <c r="E40" s="16">
        <v>51000000</v>
      </c>
      <c r="F40" s="16">
        <v>51000000</v>
      </c>
      <c r="I40" s="151"/>
      <c r="K40" s="91" t="s">
        <v>61</v>
      </c>
      <c r="L40" s="111">
        <v>-10</v>
      </c>
      <c r="N40" s="119"/>
      <c r="O40" s="154"/>
      <c r="P40" s="122"/>
      <c r="Q40" s="57" t="s">
        <v>46</v>
      </c>
      <c r="R40" s="114">
        <v>0</v>
      </c>
      <c r="S40" s="112">
        <v>1</v>
      </c>
      <c r="T40" s="68">
        <v>1</v>
      </c>
      <c r="U40" s="68">
        <v>1</v>
      </c>
      <c r="V40" s="68">
        <v>1</v>
      </c>
      <c r="W40" s="68">
        <v>1</v>
      </c>
      <c r="X40" s="68">
        <v>1</v>
      </c>
      <c r="Y40" s="68">
        <v>1</v>
      </c>
      <c r="Z40" s="68">
        <v>1</v>
      </c>
      <c r="AA40" s="68">
        <v>1</v>
      </c>
      <c r="AB40" s="68">
        <v>1</v>
      </c>
      <c r="AC40" s="68">
        <v>1</v>
      </c>
      <c r="AD40" s="68">
        <v>1</v>
      </c>
      <c r="AE40" s="68">
        <v>1</v>
      </c>
      <c r="AF40" s="68">
        <v>1</v>
      </c>
      <c r="AG40" s="68">
        <v>1</v>
      </c>
      <c r="AH40" s="68">
        <v>1</v>
      </c>
      <c r="AI40" s="68">
        <v>1</v>
      </c>
      <c r="AJ40" s="68">
        <v>1</v>
      </c>
      <c r="AK40" s="68">
        <v>1</v>
      </c>
      <c r="AL40" s="68">
        <v>1</v>
      </c>
      <c r="AM40" s="68">
        <v>1</v>
      </c>
      <c r="AN40" s="68">
        <v>1</v>
      </c>
      <c r="AO40" s="68">
        <v>1</v>
      </c>
      <c r="AP40" s="68">
        <v>1</v>
      </c>
      <c r="AQ40" s="68">
        <v>1</v>
      </c>
      <c r="AR40" s="68">
        <v>1</v>
      </c>
      <c r="AS40" s="68">
        <v>1</v>
      </c>
      <c r="AT40" s="68">
        <v>1</v>
      </c>
      <c r="AU40" s="68">
        <v>1</v>
      </c>
      <c r="AV40" s="68">
        <v>1</v>
      </c>
      <c r="AW40" s="68">
        <v>1</v>
      </c>
      <c r="AX40" s="68">
        <v>1</v>
      </c>
      <c r="AY40" s="68">
        <v>1</v>
      </c>
      <c r="AZ40" s="68">
        <v>1</v>
      </c>
      <c r="BA40" s="68">
        <v>1</v>
      </c>
      <c r="BB40" s="68">
        <v>1</v>
      </c>
      <c r="BC40" s="68">
        <v>1</v>
      </c>
      <c r="BD40" s="68">
        <v>1</v>
      </c>
      <c r="BE40" s="68">
        <v>1</v>
      </c>
      <c r="BF40" s="68">
        <v>1</v>
      </c>
      <c r="BG40" s="68">
        <v>1</v>
      </c>
      <c r="BH40" s="68">
        <v>1</v>
      </c>
      <c r="BI40" s="68">
        <v>1</v>
      </c>
      <c r="BJ40" s="68">
        <v>1</v>
      </c>
      <c r="BK40" s="68">
        <v>1</v>
      </c>
      <c r="BL40" s="68">
        <v>1</v>
      </c>
      <c r="BM40" s="68">
        <v>1</v>
      </c>
      <c r="BN40" s="68">
        <v>1</v>
      </c>
      <c r="BO40" s="68">
        <v>1</v>
      </c>
      <c r="BP40" s="68">
        <v>1</v>
      </c>
      <c r="BQ40" s="73">
        <v>1</v>
      </c>
      <c r="BR40" s="68">
        <v>1</v>
      </c>
      <c r="BS40" s="68">
        <v>1</v>
      </c>
      <c r="BT40" s="68">
        <v>1</v>
      </c>
      <c r="BU40" s="68">
        <v>1</v>
      </c>
      <c r="BV40" s="68">
        <v>1</v>
      </c>
      <c r="BW40" s="68">
        <v>1</v>
      </c>
      <c r="BX40" s="68">
        <v>1</v>
      </c>
      <c r="BY40" s="68">
        <v>1</v>
      </c>
      <c r="BZ40" s="68">
        <v>1</v>
      </c>
      <c r="CA40" s="68">
        <v>1</v>
      </c>
      <c r="CB40" s="68">
        <v>1</v>
      </c>
      <c r="CC40" s="68">
        <v>1</v>
      </c>
      <c r="CD40" s="68">
        <v>1</v>
      </c>
      <c r="CE40" s="68">
        <v>1</v>
      </c>
      <c r="CF40" s="68">
        <v>1</v>
      </c>
      <c r="CG40" s="68">
        <v>1</v>
      </c>
      <c r="CH40" s="68">
        <v>1</v>
      </c>
      <c r="CI40" s="68">
        <v>1</v>
      </c>
      <c r="CJ40" s="68">
        <v>1</v>
      </c>
      <c r="CK40" s="68">
        <v>1</v>
      </c>
      <c r="CL40" s="68">
        <v>1</v>
      </c>
      <c r="CM40" s="68">
        <v>1</v>
      </c>
      <c r="CN40" s="68">
        <v>1</v>
      </c>
      <c r="CO40" s="68">
        <v>1</v>
      </c>
      <c r="CP40" s="68">
        <v>1</v>
      </c>
      <c r="CQ40" s="68">
        <v>1</v>
      </c>
      <c r="CR40" s="68">
        <v>1</v>
      </c>
      <c r="CS40" s="68">
        <v>1</v>
      </c>
      <c r="CT40" s="69">
        <v>1</v>
      </c>
    </row>
    <row r="41" spans="2:103" ht="15.75" thickBot="1" x14ac:dyDescent="0.3">
      <c r="B41" s="5" t="s">
        <v>3</v>
      </c>
      <c r="C41" s="20">
        <v>31500000</v>
      </c>
      <c r="D41" s="15">
        <v>31500000</v>
      </c>
      <c r="E41" s="16">
        <v>31500000</v>
      </c>
      <c r="F41" s="16">
        <v>31500000</v>
      </c>
      <c r="I41" s="151"/>
      <c r="K41" s="92" t="s">
        <v>62</v>
      </c>
      <c r="L41" s="89" t="s">
        <v>11</v>
      </c>
      <c r="N41" s="119"/>
      <c r="O41" s="154"/>
      <c r="P41" s="122"/>
      <c r="Q41" s="58" t="s">
        <v>41</v>
      </c>
      <c r="R41" s="25">
        <f t="shared" ref="R41:S41" si="28">$D$12*$D$13/$D$14*R39*R$13</f>
        <v>0</v>
      </c>
      <c r="S41" s="40">
        <f t="shared" si="28"/>
        <v>0</v>
      </c>
      <c r="T41" s="25">
        <f>$D$12*$D$13/$D$14*T39*T$13</f>
        <v>0</v>
      </c>
      <c r="U41" s="25">
        <f t="shared" ref="U41:CF41" si="29">$D$12*$D$13/$D$14*U39*U$13</f>
        <v>0</v>
      </c>
      <c r="V41" s="25">
        <f t="shared" si="29"/>
        <v>0</v>
      </c>
      <c r="W41" s="25">
        <f t="shared" si="29"/>
        <v>0</v>
      </c>
      <c r="X41" s="25">
        <f t="shared" si="29"/>
        <v>0</v>
      </c>
      <c r="Y41" s="25">
        <f t="shared" si="29"/>
        <v>0</v>
      </c>
      <c r="Z41" s="25">
        <f>$D$12*$D$13/$D$14*Z39*Z$13</f>
        <v>0</v>
      </c>
      <c r="AA41" s="25">
        <f t="shared" si="29"/>
        <v>0</v>
      </c>
      <c r="AB41" s="25">
        <f t="shared" si="29"/>
        <v>0</v>
      </c>
      <c r="AC41" s="25">
        <f t="shared" si="29"/>
        <v>0</v>
      </c>
      <c r="AD41" s="25">
        <f t="shared" si="29"/>
        <v>0</v>
      </c>
      <c r="AE41" s="25">
        <f t="shared" si="29"/>
        <v>0</v>
      </c>
      <c r="AF41" s="25">
        <f t="shared" si="29"/>
        <v>0</v>
      </c>
      <c r="AG41" s="25">
        <f t="shared" si="29"/>
        <v>0</v>
      </c>
      <c r="AH41" s="25">
        <f t="shared" si="29"/>
        <v>0</v>
      </c>
      <c r="AI41" s="25">
        <f t="shared" si="29"/>
        <v>0</v>
      </c>
      <c r="AJ41" s="25">
        <f t="shared" si="29"/>
        <v>0</v>
      </c>
      <c r="AK41" s="25">
        <f t="shared" si="29"/>
        <v>0</v>
      </c>
      <c r="AL41" s="25">
        <f t="shared" si="29"/>
        <v>0</v>
      </c>
      <c r="AM41" s="25">
        <f t="shared" si="29"/>
        <v>0</v>
      </c>
      <c r="AN41" s="25">
        <f t="shared" si="29"/>
        <v>0</v>
      </c>
      <c r="AO41" s="25">
        <f t="shared" si="29"/>
        <v>0</v>
      </c>
      <c r="AP41" s="25">
        <f t="shared" si="29"/>
        <v>0</v>
      </c>
      <c r="AQ41" s="25">
        <f t="shared" si="29"/>
        <v>0</v>
      </c>
      <c r="AR41" s="25">
        <f t="shared" si="29"/>
        <v>0</v>
      </c>
      <c r="AS41" s="25">
        <f t="shared" si="29"/>
        <v>0</v>
      </c>
      <c r="AT41" s="25">
        <f t="shared" si="29"/>
        <v>0</v>
      </c>
      <c r="AU41" s="25">
        <f t="shared" si="29"/>
        <v>0</v>
      </c>
      <c r="AV41" s="25">
        <f t="shared" si="29"/>
        <v>0</v>
      </c>
      <c r="AW41" s="25">
        <f t="shared" si="29"/>
        <v>0</v>
      </c>
      <c r="AX41" s="25">
        <f t="shared" si="29"/>
        <v>0</v>
      </c>
      <c r="AY41" s="25">
        <f t="shared" si="29"/>
        <v>0</v>
      </c>
      <c r="AZ41" s="25">
        <f t="shared" si="29"/>
        <v>0</v>
      </c>
      <c r="BA41" s="25">
        <f t="shared" si="29"/>
        <v>0</v>
      </c>
      <c r="BB41" s="25">
        <f t="shared" si="29"/>
        <v>0</v>
      </c>
      <c r="BC41" s="25">
        <f t="shared" si="29"/>
        <v>0</v>
      </c>
      <c r="BD41" s="25">
        <f t="shared" si="29"/>
        <v>0</v>
      </c>
      <c r="BE41" s="25">
        <f t="shared" si="29"/>
        <v>0</v>
      </c>
      <c r="BF41" s="25">
        <f t="shared" si="29"/>
        <v>0</v>
      </c>
      <c r="BG41" s="25">
        <f t="shared" si="29"/>
        <v>0</v>
      </c>
      <c r="BH41" s="25">
        <f t="shared" si="29"/>
        <v>0</v>
      </c>
      <c r="BI41" s="25">
        <f t="shared" si="29"/>
        <v>0</v>
      </c>
      <c r="BJ41" s="25">
        <f t="shared" si="29"/>
        <v>0</v>
      </c>
      <c r="BK41" s="25">
        <f t="shared" si="29"/>
        <v>0</v>
      </c>
      <c r="BL41" s="25">
        <f t="shared" si="29"/>
        <v>0</v>
      </c>
      <c r="BM41" s="25">
        <f t="shared" si="29"/>
        <v>0</v>
      </c>
      <c r="BN41" s="25">
        <f t="shared" si="29"/>
        <v>0</v>
      </c>
      <c r="BO41" s="25">
        <f t="shared" si="29"/>
        <v>0</v>
      </c>
      <c r="BP41" s="25">
        <f t="shared" si="29"/>
        <v>-107260584.17602812</v>
      </c>
      <c r="BQ41" s="25">
        <f t="shared" si="29"/>
        <v>0</v>
      </c>
      <c r="BR41" s="25">
        <f t="shared" si="29"/>
        <v>0</v>
      </c>
      <c r="BS41" s="25">
        <f t="shared" si="29"/>
        <v>0</v>
      </c>
      <c r="BT41" s="25">
        <f t="shared" si="29"/>
        <v>0</v>
      </c>
      <c r="BU41" s="25">
        <f t="shared" si="29"/>
        <v>0</v>
      </c>
      <c r="BV41" s="25">
        <f t="shared" si="29"/>
        <v>0</v>
      </c>
      <c r="BW41" s="25">
        <f t="shared" si="29"/>
        <v>0</v>
      </c>
      <c r="BX41" s="25">
        <f t="shared" si="29"/>
        <v>0</v>
      </c>
      <c r="BY41" s="25">
        <f t="shared" si="29"/>
        <v>0</v>
      </c>
      <c r="BZ41" s="25">
        <f t="shared" si="29"/>
        <v>0</v>
      </c>
      <c r="CA41" s="25">
        <f t="shared" si="29"/>
        <v>0</v>
      </c>
      <c r="CB41" s="25">
        <f t="shared" si="29"/>
        <v>0</v>
      </c>
      <c r="CC41" s="25">
        <f t="shared" si="29"/>
        <v>0</v>
      </c>
      <c r="CD41" s="25">
        <f t="shared" si="29"/>
        <v>0</v>
      </c>
      <c r="CE41" s="25">
        <f t="shared" si="29"/>
        <v>0</v>
      </c>
      <c r="CF41" s="25">
        <f t="shared" si="29"/>
        <v>0</v>
      </c>
      <c r="CG41" s="25">
        <f t="shared" ref="CG41:CT41" si="30">$D$12*$D$13/$D$14*CG39*CG$13</f>
        <v>0</v>
      </c>
      <c r="CH41" s="25">
        <f t="shared" si="30"/>
        <v>0</v>
      </c>
      <c r="CI41" s="25">
        <f t="shared" si="30"/>
        <v>0</v>
      </c>
      <c r="CJ41" s="25">
        <f t="shared" si="30"/>
        <v>0</v>
      </c>
      <c r="CK41" s="25">
        <f t="shared" si="30"/>
        <v>0</v>
      </c>
      <c r="CL41" s="25">
        <f t="shared" si="30"/>
        <v>0</v>
      </c>
      <c r="CM41" s="25">
        <f t="shared" si="30"/>
        <v>0</v>
      </c>
      <c r="CN41" s="25">
        <f t="shared" si="30"/>
        <v>0</v>
      </c>
      <c r="CO41" s="25">
        <f t="shared" si="30"/>
        <v>0</v>
      </c>
      <c r="CP41" s="25">
        <f t="shared" si="30"/>
        <v>0</v>
      </c>
      <c r="CQ41" s="25">
        <f t="shared" si="30"/>
        <v>0</v>
      </c>
      <c r="CR41" s="25">
        <f t="shared" si="30"/>
        <v>0</v>
      </c>
      <c r="CS41" s="25">
        <f t="shared" si="30"/>
        <v>0</v>
      </c>
      <c r="CT41" s="36">
        <f t="shared" si="30"/>
        <v>0</v>
      </c>
      <c r="CV41" s="103">
        <f>SUM(R41:CT41)</f>
        <v>-107260584.17602812</v>
      </c>
      <c r="CW41" s="131">
        <f>CV41+CV42</f>
        <v>4062866206.5631647</v>
      </c>
      <c r="CX41" s="133">
        <f>SUM(CW41:CW46)</f>
        <v>4403486078.8257608</v>
      </c>
      <c r="CY41" s="136">
        <f>CX41-F43</f>
        <v>-4.2390823364257813E-3</v>
      </c>
    </row>
    <row r="42" spans="2:103" ht="15.75" thickBot="1" x14ac:dyDescent="0.3">
      <c r="B42" s="5" t="s">
        <v>4</v>
      </c>
      <c r="C42" s="21">
        <v>1</v>
      </c>
      <c r="D42" s="9">
        <v>1</v>
      </c>
      <c r="E42" s="10">
        <v>1</v>
      </c>
      <c r="F42" s="10">
        <v>1</v>
      </c>
      <c r="I42" s="151"/>
      <c r="K42" s="24"/>
      <c r="N42" s="119"/>
      <c r="O42" s="154"/>
      <c r="P42" s="123"/>
      <c r="Q42" s="59" t="s">
        <v>42</v>
      </c>
      <c r="R42" s="37">
        <f t="shared" ref="R42:S42" si="31">$D$19*$D$20*R40*R$12*R$13</f>
        <v>0</v>
      </c>
      <c r="S42" s="41">
        <f t="shared" si="31"/>
        <v>202666666.66666666</v>
      </c>
      <c r="T42" s="37">
        <f>$D$19*$D$20*T40*T$12*T$13</f>
        <v>193015873.01587301</v>
      </c>
      <c r="U42" s="37">
        <f t="shared" ref="U42:CF42" si="32">$D$19*$D$20*U40*U$12*U$13</f>
        <v>183824640.96749809</v>
      </c>
      <c r="V42" s="37">
        <f t="shared" si="32"/>
        <v>175071086.63571247</v>
      </c>
      <c r="W42" s="37">
        <f t="shared" si="32"/>
        <v>166734368.22448808</v>
      </c>
      <c r="X42" s="37">
        <f t="shared" si="32"/>
        <v>158794636.40427434</v>
      </c>
      <c r="Y42" s="37">
        <f t="shared" si="32"/>
        <v>151232987.05168986</v>
      </c>
      <c r="Z42" s="37">
        <f>$D$19*$D$20*Z40*Z$12*Z$13</f>
        <v>144031416.23970464</v>
      </c>
      <c r="AA42" s="37">
        <f t="shared" si="32"/>
        <v>137172777.37114725</v>
      </c>
      <c r="AB42" s="37">
        <f t="shared" si="32"/>
        <v>130640740.35347359</v>
      </c>
      <c r="AC42" s="37">
        <f t="shared" si="32"/>
        <v>124419752.71759388</v>
      </c>
      <c r="AD42" s="37">
        <f t="shared" si="32"/>
        <v>118495002.58818465</v>
      </c>
      <c r="AE42" s="37">
        <f t="shared" si="32"/>
        <v>112852383.4173187</v>
      </c>
      <c r="AF42" s="37">
        <f t="shared" si="32"/>
        <v>107478460.39744642</v>
      </c>
      <c r="AG42" s="37">
        <f t="shared" si="32"/>
        <v>102360438.47375846</v>
      </c>
      <c r="AH42" s="37">
        <f t="shared" si="32"/>
        <v>97486131.879769966</v>
      </c>
      <c r="AI42" s="37">
        <f t="shared" si="32"/>
        <v>92843935.123590425</v>
      </c>
      <c r="AJ42" s="37">
        <f t="shared" si="32"/>
        <v>88422795.355800405</v>
      </c>
      <c r="AK42" s="37">
        <f t="shared" si="32"/>
        <v>84212186.053143248</v>
      </c>
      <c r="AL42" s="37">
        <f t="shared" si="32"/>
        <v>80202081.955374524</v>
      </c>
      <c r="AM42" s="37">
        <f t="shared" si="32"/>
        <v>76382935.195594788</v>
      </c>
      <c r="AN42" s="37">
        <f t="shared" si="32"/>
        <v>72745652.567233145</v>
      </c>
      <c r="AO42" s="37">
        <f t="shared" si="32"/>
        <v>69281573.873555347</v>
      </c>
      <c r="AP42" s="37">
        <f t="shared" si="32"/>
        <v>65982451.308147974</v>
      </c>
      <c r="AQ42" s="37">
        <f t="shared" si="32"/>
        <v>62840429.817283772</v>
      </c>
      <c r="AR42" s="37">
        <f t="shared" si="32"/>
        <v>59848028.397413112</v>
      </c>
      <c r="AS42" s="37">
        <f t="shared" si="32"/>
        <v>56998122.283250585</v>
      </c>
      <c r="AT42" s="37">
        <f t="shared" si="32"/>
        <v>54283925.984048188</v>
      </c>
      <c r="AU42" s="37">
        <f t="shared" si="32"/>
        <v>51698977.127664924</v>
      </c>
      <c r="AV42" s="37">
        <f t="shared" si="32"/>
        <v>49237121.073966607</v>
      </c>
      <c r="AW42" s="37">
        <f t="shared" si="32"/>
        <v>46892496.260920562</v>
      </c>
      <c r="AX42" s="37">
        <f t="shared" si="32"/>
        <v>44659520.24849578</v>
      </c>
      <c r="AY42" s="37">
        <f t="shared" si="32"/>
        <v>42532876.427138835</v>
      </c>
      <c r="AZ42" s="37">
        <f t="shared" si="32"/>
        <v>40507501.359179847</v>
      </c>
      <c r="BA42" s="37">
        <f t="shared" si="32"/>
        <v>38578572.723028421</v>
      </c>
      <c r="BB42" s="37">
        <f t="shared" si="32"/>
        <v>36741497.83145564</v>
      </c>
      <c r="BC42" s="37">
        <f t="shared" si="32"/>
        <v>34991902.696624413</v>
      </c>
      <c r="BD42" s="37">
        <f t="shared" si="32"/>
        <v>33325621.615832787</v>
      </c>
      <c r="BE42" s="37">
        <f t="shared" si="32"/>
        <v>31738687.253174078</v>
      </c>
      <c r="BF42" s="37">
        <f t="shared" si="32"/>
        <v>30227321.193499122</v>
      </c>
      <c r="BG42" s="37">
        <f t="shared" si="32"/>
        <v>28787924.946189638</v>
      </c>
      <c r="BH42" s="37">
        <f t="shared" si="32"/>
        <v>27417071.377323467</v>
      </c>
      <c r="BI42" s="37">
        <f t="shared" si="32"/>
        <v>26111496.549831871</v>
      </c>
      <c r="BJ42" s="37">
        <f t="shared" si="32"/>
        <v>24868091.952220831</v>
      </c>
      <c r="BK42" s="37">
        <f t="shared" si="32"/>
        <v>23683897.097353164</v>
      </c>
      <c r="BL42" s="37">
        <f t="shared" si="32"/>
        <v>22556092.473669685</v>
      </c>
      <c r="BM42" s="37">
        <f t="shared" si="32"/>
        <v>21481992.832066361</v>
      </c>
      <c r="BN42" s="37">
        <f t="shared" si="32"/>
        <v>20459040.792444158</v>
      </c>
      <c r="BO42" s="37">
        <f t="shared" si="32"/>
        <v>19484800.754708722</v>
      </c>
      <c r="BP42" s="37">
        <f t="shared" si="32"/>
        <v>18556953.09972259</v>
      </c>
      <c r="BQ42" s="37">
        <f t="shared" si="32"/>
        <v>17673288.666402467</v>
      </c>
      <c r="BR42" s="37">
        <f t="shared" si="32"/>
        <v>16831703.491811872</v>
      </c>
      <c r="BS42" s="37">
        <f t="shared" si="32"/>
        <v>16030193.801725592</v>
      </c>
      <c r="BT42" s="37">
        <f t="shared" si="32"/>
        <v>15266851.239738664</v>
      </c>
      <c r="BU42" s="37">
        <f t="shared" si="32"/>
        <v>14539858.323560627</v>
      </c>
      <c r="BV42" s="37">
        <f t="shared" si="32"/>
        <v>13847484.117676791</v>
      </c>
      <c r="BW42" s="37">
        <f t="shared" si="32"/>
        <v>13188080.112073133</v>
      </c>
      <c r="BX42" s="37">
        <f t="shared" si="32"/>
        <v>12560076.297212506</v>
      </c>
      <c r="BY42" s="37">
        <f t="shared" si="32"/>
        <v>11961977.425916672</v>
      </c>
      <c r="BZ42" s="37">
        <f t="shared" si="32"/>
        <v>11392359.453253975</v>
      </c>
      <c r="CA42" s="37">
        <f t="shared" si="32"/>
        <v>10849866.145956164</v>
      </c>
      <c r="CB42" s="37">
        <f t="shared" si="32"/>
        <v>10333205.85329159</v>
      </c>
      <c r="CC42" s="37">
        <f t="shared" si="32"/>
        <v>9841148.4317062721</v>
      </c>
      <c r="CD42" s="37">
        <f t="shared" si="32"/>
        <v>9372522.3159107342</v>
      </c>
      <c r="CE42" s="37">
        <f t="shared" si="32"/>
        <v>8926211.7294387948</v>
      </c>
      <c r="CF42" s="37">
        <f t="shared" si="32"/>
        <v>8501154.0280369464</v>
      </c>
      <c r="CG42" s="37">
        <f t="shared" ref="CG42:CT42" si="33">$D$19*$D$20*CG40*CG$12*CG$13</f>
        <v>8096337.1695589973</v>
      </c>
      <c r="CH42" s="37">
        <f t="shared" si="33"/>
        <v>7710797.304341903</v>
      </c>
      <c r="CI42" s="37">
        <f t="shared" si="33"/>
        <v>7343616.4803256206</v>
      </c>
      <c r="CJ42" s="37">
        <f t="shared" si="33"/>
        <v>6993920.4574529743</v>
      </c>
      <c r="CK42" s="37">
        <f t="shared" si="33"/>
        <v>6660876.6261456879</v>
      </c>
      <c r="CL42" s="37">
        <f t="shared" si="33"/>
        <v>6343692.0249006553</v>
      </c>
      <c r="CM42" s="37">
        <f t="shared" si="33"/>
        <v>6041611.4522863384</v>
      </c>
      <c r="CN42" s="37">
        <f t="shared" si="33"/>
        <v>5753915.6688441327</v>
      </c>
      <c r="CO42" s="37">
        <f t="shared" si="33"/>
        <v>5479919.6846134588</v>
      </c>
      <c r="CP42" s="37">
        <f t="shared" si="33"/>
        <v>5218971.1282032952</v>
      </c>
      <c r="CQ42" s="37">
        <f t="shared" si="33"/>
        <v>4970448.693526946</v>
      </c>
      <c r="CR42" s="37">
        <f t="shared" si="33"/>
        <v>4733760.6605018554</v>
      </c>
      <c r="CS42" s="37">
        <f t="shared" si="33"/>
        <v>4508343.4861922413</v>
      </c>
      <c r="CT42" s="38">
        <f t="shared" si="33"/>
        <v>4293660.4630402299</v>
      </c>
      <c r="CV42" s="104">
        <f>SUM(R42:CT42)</f>
        <v>4170126790.739193</v>
      </c>
      <c r="CW42" s="132"/>
      <c r="CX42" s="134"/>
      <c r="CY42" s="137"/>
    </row>
    <row r="43" spans="2:103" ht="15.75" thickBot="1" x14ac:dyDescent="0.3">
      <c r="B43" s="6" t="s">
        <v>5</v>
      </c>
      <c r="C43" s="22">
        <v>2755382216</v>
      </c>
      <c r="D43" s="13">
        <v>3032241901.5799999</v>
      </c>
      <c r="E43" s="14">
        <v>3214897968.79</v>
      </c>
      <c r="F43" s="14">
        <v>4403486078.8299999</v>
      </c>
      <c r="I43" s="151"/>
      <c r="K43" s="93" t="s">
        <v>60</v>
      </c>
      <c r="L43" s="8">
        <v>40</v>
      </c>
      <c r="N43" s="119"/>
      <c r="O43" s="154"/>
      <c r="P43" s="128" t="s">
        <v>55</v>
      </c>
      <c r="Q43" s="57" t="s">
        <v>45</v>
      </c>
      <c r="R43" s="39">
        <v>0</v>
      </c>
      <c r="S43" s="107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108">
        <v>0</v>
      </c>
      <c r="Z43" s="108">
        <v>0</v>
      </c>
      <c r="AA43" s="108">
        <v>0</v>
      </c>
      <c r="AB43" s="108">
        <v>0</v>
      </c>
      <c r="AC43" s="108">
        <v>0</v>
      </c>
      <c r="AD43" s="108">
        <v>0</v>
      </c>
      <c r="AE43" s="108">
        <v>0</v>
      </c>
      <c r="AF43" s="108">
        <v>0</v>
      </c>
      <c r="AG43" s="115">
        <v>1</v>
      </c>
      <c r="AH43" s="116">
        <v>0</v>
      </c>
      <c r="AI43" s="108">
        <v>0</v>
      </c>
      <c r="AJ43" s="108">
        <v>0</v>
      </c>
      <c r="AK43" s="108">
        <v>0</v>
      </c>
      <c r="AL43" s="108">
        <v>0</v>
      </c>
      <c r="AM43" s="108">
        <v>0</v>
      </c>
      <c r="AN43" s="108">
        <v>0</v>
      </c>
      <c r="AO43" s="108">
        <v>0</v>
      </c>
      <c r="AP43" s="108">
        <v>0</v>
      </c>
      <c r="AQ43" s="108">
        <v>0</v>
      </c>
      <c r="AR43" s="108">
        <v>0</v>
      </c>
      <c r="AS43" s="108">
        <v>0</v>
      </c>
      <c r="AT43" s="108">
        <v>0</v>
      </c>
      <c r="AU43" s="108">
        <v>0</v>
      </c>
      <c r="AV43" s="108">
        <v>0</v>
      </c>
      <c r="AW43" s="108">
        <v>0</v>
      </c>
      <c r="AX43" s="108">
        <v>0</v>
      </c>
      <c r="AY43" s="108">
        <v>0</v>
      </c>
      <c r="AZ43" s="108">
        <v>0</v>
      </c>
      <c r="BA43" s="108">
        <v>0</v>
      </c>
      <c r="BB43" s="108">
        <v>0</v>
      </c>
      <c r="BC43" s="108">
        <v>0</v>
      </c>
      <c r="BD43" s="108">
        <v>0</v>
      </c>
      <c r="BE43" s="108">
        <v>0</v>
      </c>
      <c r="BF43" s="108">
        <v>0</v>
      </c>
      <c r="BG43" s="108">
        <v>0</v>
      </c>
      <c r="BH43" s="108">
        <v>0</v>
      </c>
      <c r="BI43" s="108">
        <v>0</v>
      </c>
      <c r="BJ43" s="108">
        <v>0</v>
      </c>
      <c r="BK43" s="108">
        <v>0</v>
      </c>
      <c r="BL43" s="108">
        <v>0</v>
      </c>
      <c r="BM43" s="108">
        <v>0</v>
      </c>
      <c r="BN43" s="108">
        <v>0</v>
      </c>
      <c r="BO43" s="108">
        <v>0</v>
      </c>
      <c r="BP43" s="108">
        <v>0</v>
      </c>
      <c r="BQ43" s="108">
        <v>0</v>
      </c>
      <c r="BR43" s="108">
        <v>0</v>
      </c>
      <c r="BS43" s="108">
        <v>0</v>
      </c>
      <c r="BT43" s="108">
        <v>0</v>
      </c>
      <c r="BU43" s="108">
        <v>0</v>
      </c>
      <c r="BV43" s="108">
        <v>0</v>
      </c>
      <c r="BW43" s="108">
        <v>0</v>
      </c>
      <c r="BX43" s="108">
        <v>0</v>
      </c>
      <c r="BY43" s="108">
        <v>0</v>
      </c>
      <c r="BZ43" s="108">
        <v>0</v>
      </c>
      <c r="CA43" s="108">
        <v>0</v>
      </c>
      <c r="CB43" s="108">
        <v>0</v>
      </c>
      <c r="CC43" s="108">
        <v>0</v>
      </c>
      <c r="CD43" s="108">
        <v>0</v>
      </c>
      <c r="CE43" s="108">
        <v>0</v>
      </c>
      <c r="CF43" s="108">
        <v>0</v>
      </c>
      <c r="CG43" s="108">
        <v>0</v>
      </c>
      <c r="CH43" s="108">
        <v>0</v>
      </c>
      <c r="CI43" s="108">
        <v>0</v>
      </c>
      <c r="CJ43" s="108">
        <v>0</v>
      </c>
      <c r="CK43" s="108">
        <v>0</v>
      </c>
      <c r="CL43" s="108">
        <v>0</v>
      </c>
      <c r="CM43" s="108">
        <v>0</v>
      </c>
      <c r="CN43" s="108">
        <v>0</v>
      </c>
      <c r="CO43" s="108">
        <v>0</v>
      </c>
      <c r="CP43" s="108">
        <v>0</v>
      </c>
      <c r="CQ43" s="108">
        <v>0</v>
      </c>
      <c r="CR43" s="108">
        <v>0</v>
      </c>
      <c r="CS43" s="108">
        <v>0</v>
      </c>
      <c r="CT43" s="109">
        <v>0</v>
      </c>
      <c r="CV43" s="23"/>
      <c r="CW43" s="23"/>
      <c r="CX43" s="134"/>
      <c r="CY43" s="137"/>
    </row>
    <row r="44" spans="2:103" ht="15.75" thickBot="1" x14ac:dyDescent="0.3">
      <c r="I44" s="151"/>
      <c r="K44" s="94" t="s">
        <v>61</v>
      </c>
      <c r="L44" s="96">
        <v>-25</v>
      </c>
      <c r="N44" s="119"/>
      <c r="O44" s="154"/>
      <c r="P44" s="129"/>
      <c r="Q44" s="57" t="s">
        <v>46</v>
      </c>
      <c r="R44" s="114">
        <v>0</v>
      </c>
      <c r="S44" s="76">
        <v>1</v>
      </c>
      <c r="T44" s="77">
        <v>1</v>
      </c>
      <c r="U44" s="77">
        <v>1</v>
      </c>
      <c r="V44" s="77">
        <v>1</v>
      </c>
      <c r="W44" s="77">
        <v>1</v>
      </c>
      <c r="X44" s="77">
        <v>1</v>
      </c>
      <c r="Y44" s="77">
        <v>1</v>
      </c>
      <c r="Z44" s="77">
        <v>1</v>
      </c>
      <c r="AA44" s="77">
        <v>1</v>
      </c>
      <c r="AB44" s="77">
        <v>1</v>
      </c>
      <c r="AC44" s="77">
        <v>1</v>
      </c>
      <c r="AD44" s="77">
        <v>1</v>
      </c>
      <c r="AE44" s="77">
        <v>1</v>
      </c>
      <c r="AF44" s="77">
        <v>1</v>
      </c>
      <c r="AG44" s="77">
        <v>1</v>
      </c>
      <c r="AH44" s="78">
        <v>1</v>
      </c>
      <c r="AI44" s="77">
        <v>1</v>
      </c>
      <c r="AJ44" s="77">
        <v>1</v>
      </c>
      <c r="AK44" s="77">
        <v>1</v>
      </c>
      <c r="AL44" s="77">
        <v>1</v>
      </c>
      <c r="AM44" s="77">
        <v>1</v>
      </c>
      <c r="AN44" s="77">
        <v>1</v>
      </c>
      <c r="AO44" s="77">
        <v>1</v>
      </c>
      <c r="AP44" s="77">
        <v>1</v>
      </c>
      <c r="AQ44" s="77">
        <v>1</v>
      </c>
      <c r="AR44" s="77">
        <v>1</v>
      </c>
      <c r="AS44" s="77">
        <v>1</v>
      </c>
      <c r="AT44" s="77">
        <v>1</v>
      </c>
      <c r="AU44" s="77">
        <v>1</v>
      </c>
      <c r="AV44" s="77">
        <v>1</v>
      </c>
      <c r="AW44" s="77">
        <v>1</v>
      </c>
      <c r="AX44" s="77">
        <v>1</v>
      </c>
      <c r="AY44" s="77">
        <v>1</v>
      </c>
      <c r="AZ44" s="77">
        <v>1</v>
      </c>
      <c r="BA44" s="77">
        <v>1</v>
      </c>
      <c r="BB44" s="77">
        <v>1</v>
      </c>
      <c r="BC44" s="77">
        <v>1</v>
      </c>
      <c r="BD44" s="77">
        <v>1</v>
      </c>
      <c r="BE44" s="77">
        <v>1</v>
      </c>
      <c r="BF44" s="77">
        <v>1</v>
      </c>
      <c r="BG44" s="77">
        <v>1</v>
      </c>
      <c r="BH44" s="77">
        <v>1</v>
      </c>
      <c r="BI44" s="77">
        <v>1</v>
      </c>
      <c r="BJ44" s="77">
        <v>1</v>
      </c>
      <c r="BK44" s="77">
        <v>1</v>
      </c>
      <c r="BL44" s="77">
        <v>1</v>
      </c>
      <c r="BM44" s="77">
        <v>1</v>
      </c>
      <c r="BN44" s="77">
        <v>1</v>
      </c>
      <c r="BO44" s="77">
        <v>1</v>
      </c>
      <c r="BP44" s="77">
        <v>1</v>
      </c>
      <c r="BQ44" s="77">
        <v>1</v>
      </c>
      <c r="BR44" s="77">
        <v>1</v>
      </c>
      <c r="BS44" s="77">
        <v>1</v>
      </c>
      <c r="BT44" s="77">
        <v>1</v>
      </c>
      <c r="BU44" s="77">
        <v>1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0</v>
      </c>
      <c r="CF44" s="30">
        <v>0</v>
      </c>
      <c r="CG44" s="30">
        <v>0</v>
      </c>
      <c r="CH44" s="30">
        <v>0</v>
      </c>
      <c r="CI44" s="30">
        <v>0</v>
      </c>
      <c r="CJ44" s="30">
        <v>0</v>
      </c>
      <c r="CK44" s="30">
        <v>0</v>
      </c>
      <c r="CL44" s="30">
        <v>0</v>
      </c>
      <c r="CM44" s="30">
        <v>0</v>
      </c>
      <c r="CN44" s="30">
        <v>0</v>
      </c>
      <c r="CO44" s="30">
        <v>0</v>
      </c>
      <c r="CP44" s="30">
        <v>0</v>
      </c>
      <c r="CQ44" s="30">
        <v>0</v>
      </c>
      <c r="CR44" s="30">
        <v>0</v>
      </c>
      <c r="CS44" s="30">
        <v>0</v>
      </c>
      <c r="CT44" s="64">
        <v>0</v>
      </c>
      <c r="CV44" s="23"/>
      <c r="CW44" s="23"/>
      <c r="CX44" s="134"/>
      <c r="CY44" s="137"/>
    </row>
    <row r="45" spans="2:103" ht="15" customHeight="1" thickBot="1" x14ac:dyDescent="0.3">
      <c r="I45" s="152"/>
      <c r="K45" s="95" t="s">
        <v>62</v>
      </c>
      <c r="L45" s="97">
        <v>2</v>
      </c>
      <c r="N45" s="119"/>
      <c r="O45" s="154"/>
      <c r="P45" s="129"/>
      <c r="Q45" s="58" t="s">
        <v>43</v>
      </c>
      <c r="R45" s="25">
        <f t="shared" ref="R45:S45" si="34">$E$27*$E$28/$E$29*R$13*R43</f>
        <v>0</v>
      </c>
      <c r="S45" s="40">
        <f t="shared" si="34"/>
        <v>0</v>
      </c>
      <c r="T45" s="25">
        <f>$E$27*$E$28/$E$29*T$13*T43</f>
        <v>0</v>
      </c>
      <c r="U45" s="25">
        <f t="shared" ref="U45:CF45" si="35">$E$27*$E$28/$E$29*U$13*U43</f>
        <v>0</v>
      </c>
      <c r="V45" s="25">
        <f t="shared" si="35"/>
        <v>0</v>
      </c>
      <c r="W45" s="25">
        <f t="shared" si="35"/>
        <v>0</v>
      </c>
      <c r="X45" s="25">
        <f t="shared" si="35"/>
        <v>0</v>
      </c>
      <c r="Y45" s="25">
        <f t="shared" si="35"/>
        <v>0</v>
      </c>
      <c r="Z45" s="25">
        <f t="shared" si="35"/>
        <v>0</v>
      </c>
      <c r="AA45" s="25">
        <f t="shared" si="35"/>
        <v>0</v>
      </c>
      <c r="AB45" s="25">
        <f t="shared" si="35"/>
        <v>0</v>
      </c>
      <c r="AC45" s="25">
        <f t="shared" si="35"/>
        <v>0</v>
      </c>
      <c r="AD45" s="25">
        <f t="shared" si="35"/>
        <v>0</v>
      </c>
      <c r="AE45" s="25">
        <f t="shared" si="35"/>
        <v>0</v>
      </c>
      <c r="AF45" s="25">
        <f t="shared" si="35"/>
        <v>0</v>
      </c>
      <c r="AG45" s="25">
        <f t="shared" si="35"/>
        <v>-16248382.754994983</v>
      </c>
      <c r="AH45" s="25">
        <f t="shared" si="35"/>
        <v>0</v>
      </c>
      <c r="AI45" s="25">
        <f t="shared" si="35"/>
        <v>0</v>
      </c>
      <c r="AJ45" s="25">
        <f t="shared" si="35"/>
        <v>0</v>
      </c>
      <c r="AK45" s="25">
        <f t="shared" si="35"/>
        <v>0</v>
      </c>
      <c r="AL45" s="25">
        <f t="shared" si="35"/>
        <v>0</v>
      </c>
      <c r="AM45" s="25">
        <f t="shared" si="35"/>
        <v>0</v>
      </c>
      <c r="AN45" s="25">
        <f t="shared" si="35"/>
        <v>0</v>
      </c>
      <c r="AO45" s="25">
        <f t="shared" si="35"/>
        <v>0</v>
      </c>
      <c r="AP45" s="25">
        <f t="shared" si="35"/>
        <v>0</v>
      </c>
      <c r="AQ45" s="25">
        <f t="shared" si="35"/>
        <v>0</v>
      </c>
      <c r="AR45" s="25">
        <f t="shared" si="35"/>
        <v>0</v>
      </c>
      <c r="AS45" s="25">
        <f t="shared" si="35"/>
        <v>0</v>
      </c>
      <c r="AT45" s="25">
        <f t="shared" si="35"/>
        <v>0</v>
      </c>
      <c r="AU45" s="25">
        <f t="shared" si="35"/>
        <v>0</v>
      </c>
      <c r="AV45" s="25">
        <f t="shared" si="35"/>
        <v>0</v>
      </c>
      <c r="AW45" s="25">
        <f t="shared" si="35"/>
        <v>0</v>
      </c>
      <c r="AX45" s="25">
        <f t="shared" si="35"/>
        <v>0</v>
      </c>
      <c r="AY45" s="25">
        <f t="shared" si="35"/>
        <v>0</v>
      </c>
      <c r="AZ45" s="25">
        <f t="shared" si="35"/>
        <v>0</v>
      </c>
      <c r="BA45" s="25">
        <f t="shared" si="35"/>
        <v>0</v>
      </c>
      <c r="BB45" s="25">
        <f t="shared" si="35"/>
        <v>0</v>
      </c>
      <c r="BC45" s="25">
        <f t="shared" si="35"/>
        <v>0</v>
      </c>
      <c r="BD45" s="25">
        <f t="shared" si="35"/>
        <v>0</v>
      </c>
      <c r="BE45" s="25">
        <f t="shared" si="35"/>
        <v>0</v>
      </c>
      <c r="BF45" s="25">
        <f t="shared" si="35"/>
        <v>0</v>
      </c>
      <c r="BG45" s="25">
        <f t="shared" si="35"/>
        <v>0</v>
      </c>
      <c r="BH45" s="25">
        <f t="shared" si="35"/>
        <v>0</v>
      </c>
      <c r="BI45" s="25">
        <f t="shared" si="35"/>
        <v>0</v>
      </c>
      <c r="BJ45" s="25">
        <f t="shared" si="35"/>
        <v>0</v>
      </c>
      <c r="BK45" s="25">
        <f t="shared" si="35"/>
        <v>0</v>
      </c>
      <c r="BL45" s="25">
        <f t="shared" si="35"/>
        <v>0</v>
      </c>
      <c r="BM45" s="25">
        <f t="shared" si="35"/>
        <v>0</v>
      </c>
      <c r="BN45" s="25">
        <f t="shared" si="35"/>
        <v>0</v>
      </c>
      <c r="BO45" s="25">
        <f t="shared" si="35"/>
        <v>0</v>
      </c>
      <c r="BP45" s="25">
        <f t="shared" si="35"/>
        <v>0</v>
      </c>
      <c r="BQ45" s="25">
        <f t="shared" si="35"/>
        <v>0</v>
      </c>
      <c r="BR45" s="25">
        <f t="shared" si="35"/>
        <v>0</v>
      </c>
      <c r="BS45" s="25">
        <f t="shared" si="35"/>
        <v>0</v>
      </c>
      <c r="BT45" s="25">
        <f t="shared" si="35"/>
        <v>0</v>
      </c>
      <c r="BU45" s="25">
        <f t="shared" si="35"/>
        <v>0</v>
      </c>
      <c r="BV45" s="25">
        <f t="shared" si="35"/>
        <v>0</v>
      </c>
      <c r="BW45" s="25">
        <f t="shared" si="35"/>
        <v>0</v>
      </c>
      <c r="BX45" s="25">
        <f t="shared" si="35"/>
        <v>0</v>
      </c>
      <c r="BY45" s="25">
        <f t="shared" si="35"/>
        <v>0</v>
      </c>
      <c r="BZ45" s="25">
        <f t="shared" si="35"/>
        <v>0</v>
      </c>
      <c r="CA45" s="25">
        <f t="shared" si="35"/>
        <v>0</v>
      </c>
      <c r="CB45" s="25">
        <f t="shared" si="35"/>
        <v>0</v>
      </c>
      <c r="CC45" s="25">
        <f t="shared" si="35"/>
        <v>0</v>
      </c>
      <c r="CD45" s="25">
        <f t="shared" si="35"/>
        <v>0</v>
      </c>
      <c r="CE45" s="25">
        <f t="shared" si="35"/>
        <v>0</v>
      </c>
      <c r="CF45" s="25">
        <f t="shared" si="35"/>
        <v>0</v>
      </c>
      <c r="CG45" s="25">
        <f t="shared" ref="CG45:CT45" si="36">$E$27*$E$28/$E$29*CG$13*CG43</f>
        <v>0</v>
      </c>
      <c r="CH45" s="25">
        <f t="shared" si="36"/>
        <v>0</v>
      </c>
      <c r="CI45" s="25">
        <f t="shared" si="36"/>
        <v>0</v>
      </c>
      <c r="CJ45" s="25">
        <f t="shared" si="36"/>
        <v>0</v>
      </c>
      <c r="CK45" s="25">
        <f t="shared" si="36"/>
        <v>0</v>
      </c>
      <c r="CL45" s="25">
        <f t="shared" si="36"/>
        <v>0</v>
      </c>
      <c r="CM45" s="25">
        <f t="shared" si="36"/>
        <v>0</v>
      </c>
      <c r="CN45" s="25">
        <f t="shared" si="36"/>
        <v>0</v>
      </c>
      <c r="CO45" s="25">
        <f t="shared" si="36"/>
        <v>0</v>
      </c>
      <c r="CP45" s="25">
        <f t="shared" si="36"/>
        <v>0</v>
      </c>
      <c r="CQ45" s="25">
        <f t="shared" si="36"/>
        <v>0</v>
      </c>
      <c r="CR45" s="25">
        <f t="shared" si="36"/>
        <v>0</v>
      </c>
      <c r="CS45" s="25">
        <f t="shared" si="36"/>
        <v>0</v>
      </c>
      <c r="CT45" s="36">
        <f t="shared" si="36"/>
        <v>0</v>
      </c>
      <c r="CV45" s="103">
        <f>SUM(R45:CT45)</f>
        <v>-16248382.754994983</v>
      </c>
      <c r="CW45" s="139">
        <f t="shared" ref="CW45" si="37">CV45+CV46</f>
        <v>340619872.26259583</v>
      </c>
      <c r="CX45" s="134"/>
      <c r="CY45" s="137"/>
    </row>
    <row r="46" spans="2:103" ht="15.75" thickBot="1" x14ac:dyDescent="0.3">
      <c r="N46" s="120"/>
      <c r="O46" s="155"/>
      <c r="P46" s="130"/>
      <c r="Q46" s="59" t="s">
        <v>44</v>
      </c>
      <c r="R46" s="37">
        <f t="shared" ref="R46:S46" si="38">$E$33*$E$34*R$12*R$13*R44</f>
        <v>0</v>
      </c>
      <c r="S46" s="41">
        <f t="shared" si="38"/>
        <v>18240000</v>
      </c>
      <c r="T46" s="37">
        <f>$E$33*$E$34*T$12*T$13*T44</f>
        <v>17371428.571428571</v>
      </c>
      <c r="U46" s="37">
        <f t="shared" ref="U46:CF46" si="39">$E$33*$E$34*U$12*U$13*U44</f>
        <v>16544217.687074829</v>
      </c>
      <c r="V46" s="37">
        <f t="shared" si="39"/>
        <v>15756397.797214122</v>
      </c>
      <c r="W46" s="37">
        <f t="shared" si="39"/>
        <v>15006093.140203927</v>
      </c>
      <c r="X46" s="37">
        <f t="shared" si="39"/>
        <v>14291517.276384693</v>
      </c>
      <c r="Y46" s="37">
        <f t="shared" si="39"/>
        <v>13610968.834652087</v>
      </c>
      <c r="Z46" s="37">
        <f t="shared" si="39"/>
        <v>12962827.461573418</v>
      </c>
      <c r="AA46" s="37">
        <f t="shared" si="39"/>
        <v>12345549.963403253</v>
      </c>
      <c r="AB46" s="37">
        <f t="shared" si="39"/>
        <v>11757666.631812623</v>
      </c>
      <c r="AC46" s="37">
        <f t="shared" si="39"/>
        <v>11197777.744583448</v>
      </c>
      <c r="AD46" s="37">
        <f t="shared" si="39"/>
        <v>10664550.232936619</v>
      </c>
      <c r="AE46" s="37">
        <f t="shared" si="39"/>
        <v>10156714.507558683</v>
      </c>
      <c r="AF46" s="37">
        <f t="shared" si="39"/>
        <v>9673061.4357701782</v>
      </c>
      <c r="AG46" s="37">
        <f t="shared" si="39"/>
        <v>9212439.4626382608</v>
      </c>
      <c r="AH46" s="37">
        <f t="shared" si="39"/>
        <v>8773751.8691792972</v>
      </c>
      <c r="AI46" s="37">
        <f t="shared" si="39"/>
        <v>8355954.1611231389</v>
      </c>
      <c r="AJ46" s="37">
        <f t="shared" si="39"/>
        <v>7958051.5820220374</v>
      </c>
      <c r="AK46" s="37">
        <f t="shared" si="39"/>
        <v>7579096.7447828921</v>
      </c>
      <c r="AL46" s="37">
        <f t="shared" si="39"/>
        <v>7218187.3759837076</v>
      </c>
      <c r="AM46" s="37">
        <f t="shared" si="39"/>
        <v>6874464.1676035309</v>
      </c>
      <c r="AN46" s="37">
        <f t="shared" si="39"/>
        <v>6547108.7310509831</v>
      </c>
      <c r="AO46" s="37">
        <f t="shared" si="39"/>
        <v>6235341.6486199815</v>
      </c>
      <c r="AP46" s="37">
        <f t="shared" si="39"/>
        <v>5938420.6177333174</v>
      </c>
      <c r="AQ46" s="37">
        <f t="shared" si="39"/>
        <v>5655638.6835555397</v>
      </c>
      <c r="AR46" s="37">
        <f t="shared" si="39"/>
        <v>5386322.5557671804</v>
      </c>
      <c r="AS46" s="37">
        <f t="shared" si="39"/>
        <v>5129831.0054925522</v>
      </c>
      <c r="AT46" s="37">
        <f t="shared" si="39"/>
        <v>4885553.3385643372</v>
      </c>
      <c r="AU46" s="37">
        <f t="shared" si="39"/>
        <v>4652907.9414898437</v>
      </c>
      <c r="AV46" s="37">
        <f t="shared" si="39"/>
        <v>4431340.8966569947</v>
      </c>
      <c r="AW46" s="37">
        <f t="shared" si="39"/>
        <v>4220324.6634828504</v>
      </c>
      <c r="AX46" s="37">
        <f t="shared" si="39"/>
        <v>4019356.8223646199</v>
      </c>
      <c r="AY46" s="37">
        <f t="shared" si="39"/>
        <v>3827958.8784424956</v>
      </c>
      <c r="AZ46" s="37">
        <f t="shared" si="39"/>
        <v>3645675.1223261864</v>
      </c>
      <c r="BA46" s="37">
        <f t="shared" si="39"/>
        <v>3472071.5450725579</v>
      </c>
      <c r="BB46" s="37">
        <f t="shared" si="39"/>
        <v>3306734.804831008</v>
      </c>
      <c r="BC46" s="37">
        <f t="shared" si="39"/>
        <v>3149271.2426961972</v>
      </c>
      <c r="BD46" s="37">
        <f t="shared" si="39"/>
        <v>2999305.9454249507</v>
      </c>
      <c r="BE46" s="37">
        <f t="shared" si="39"/>
        <v>2856481.8527856669</v>
      </c>
      <c r="BF46" s="37">
        <f t="shared" si="39"/>
        <v>2720458.9074149211</v>
      </c>
      <c r="BG46" s="37">
        <f t="shared" si="39"/>
        <v>2590913.2451570677</v>
      </c>
      <c r="BH46" s="37">
        <f t="shared" si="39"/>
        <v>2467536.4239591123</v>
      </c>
      <c r="BI46" s="37">
        <f t="shared" si="39"/>
        <v>2350034.6894848682</v>
      </c>
      <c r="BJ46" s="37">
        <f t="shared" si="39"/>
        <v>2238128.2756998749</v>
      </c>
      <c r="BK46" s="37">
        <f t="shared" si="39"/>
        <v>2131550.738761785</v>
      </c>
      <c r="BL46" s="37">
        <f t="shared" si="39"/>
        <v>2030048.3226302718</v>
      </c>
      <c r="BM46" s="37">
        <f t="shared" si="39"/>
        <v>1933379.3548859726</v>
      </c>
      <c r="BN46" s="37">
        <f t="shared" si="39"/>
        <v>1841313.6713199741</v>
      </c>
      <c r="BO46" s="37">
        <f t="shared" si="39"/>
        <v>1753632.067923785</v>
      </c>
      <c r="BP46" s="37">
        <f t="shared" si="39"/>
        <v>1670125.778975033</v>
      </c>
      <c r="BQ46" s="37">
        <f t="shared" si="39"/>
        <v>1590595.9799762219</v>
      </c>
      <c r="BR46" s="37">
        <f t="shared" si="39"/>
        <v>1514853.3142630686</v>
      </c>
      <c r="BS46" s="37">
        <f t="shared" si="39"/>
        <v>1442717.4421553034</v>
      </c>
      <c r="BT46" s="37">
        <f t="shared" si="39"/>
        <v>1374016.6115764796</v>
      </c>
      <c r="BU46" s="37">
        <f t="shared" si="39"/>
        <v>1308587.2491204564</v>
      </c>
      <c r="BV46" s="37">
        <f t="shared" si="39"/>
        <v>0</v>
      </c>
      <c r="BW46" s="37">
        <f t="shared" si="39"/>
        <v>0</v>
      </c>
      <c r="BX46" s="37">
        <f t="shared" si="39"/>
        <v>0</v>
      </c>
      <c r="BY46" s="37">
        <f t="shared" si="39"/>
        <v>0</v>
      </c>
      <c r="BZ46" s="37">
        <f t="shared" si="39"/>
        <v>0</v>
      </c>
      <c r="CA46" s="37">
        <f t="shared" si="39"/>
        <v>0</v>
      </c>
      <c r="CB46" s="37">
        <f t="shared" si="39"/>
        <v>0</v>
      </c>
      <c r="CC46" s="37">
        <f t="shared" si="39"/>
        <v>0</v>
      </c>
      <c r="CD46" s="37">
        <f t="shared" si="39"/>
        <v>0</v>
      </c>
      <c r="CE46" s="37">
        <f t="shared" si="39"/>
        <v>0</v>
      </c>
      <c r="CF46" s="37">
        <f t="shared" si="39"/>
        <v>0</v>
      </c>
      <c r="CG46" s="37">
        <f t="shared" ref="CG46:CT46" si="40">$E$33*$E$34*CG$12*CG$13*CG44</f>
        <v>0</v>
      </c>
      <c r="CH46" s="37">
        <f t="shared" si="40"/>
        <v>0</v>
      </c>
      <c r="CI46" s="37">
        <f t="shared" si="40"/>
        <v>0</v>
      </c>
      <c r="CJ46" s="37">
        <f t="shared" si="40"/>
        <v>0</v>
      </c>
      <c r="CK46" s="37">
        <f t="shared" si="40"/>
        <v>0</v>
      </c>
      <c r="CL46" s="37">
        <f t="shared" si="40"/>
        <v>0</v>
      </c>
      <c r="CM46" s="37">
        <f t="shared" si="40"/>
        <v>0</v>
      </c>
      <c r="CN46" s="37">
        <f t="shared" si="40"/>
        <v>0</v>
      </c>
      <c r="CO46" s="37">
        <f t="shared" si="40"/>
        <v>0</v>
      </c>
      <c r="CP46" s="37">
        <f t="shared" si="40"/>
        <v>0</v>
      </c>
      <c r="CQ46" s="37">
        <f t="shared" si="40"/>
        <v>0</v>
      </c>
      <c r="CR46" s="37">
        <f t="shared" si="40"/>
        <v>0</v>
      </c>
      <c r="CS46" s="37">
        <f t="shared" si="40"/>
        <v>0</v>
      </c>
      <c r="CT46" s="38">
        <f t="shared" si="40"/>
        <v>0</v>
      </c>
      <c r="CV46" s="104">
        <f t="shared" ref="CV46" si="41">SUM(R46:CT46)</f>
        <v>356868255.01759082</v>
      </c>
      <c r="CW46" s="140"/>
      <c r="CX46" s="135"/>
      <c r="CY46" s="138"/>
    </row>
    <row r="49" spans="10:98" x14ac:dyDescent="0.25">
      <c r="R49" t="s">
        <v>72</v>
      </c>
    </row>
    <row r="58" spans="10:98" x14ac:dyDescent="0.25">
      <c r="J58" s="159" t="s">
        <v>71</v>
      </c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</row>
    <row r="59" spans="10:98" x14ac:dyDescent="0.25"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</row>
    <row r="61" spans="10:98" ht="15.75" thickBot="1" x14ac:dyDescent="0.3"/>
    <row r="62" spans="10:98" ht="15.75" thickBot="1" x14ac:dyDescent="0.3">
      <c r="S62" s="60">
        <v>-1</v>
      </c>
      <c r="T62" s="61">
        <v>-2</v>
      </c>
      <c r="U62" s="61">
        <v>-3</v>
      </c>
      <c r="V62" s="61">
        <v>-4</v>
      </c>
      <c r="W62" s="61">
        <v>-5</v>
      </c>
      <c r="X62" s="61">
        <v>-6</v>
      </c>
      <c r="Y62" s="61">
        <v>-7</v>
      </c>
      <c r="Z62" s="61">
        <v>-8</v>
      </c>
      <c r="AA62" s="61">
        <v>-9</v>
      </c>
      <c r="AB62" s="61">
        <v>-10</v>
      </c>
      <c r="AC62" s="61">
        <v>-11</v>
      </c>
      <c r="AD62" s="61">
        <v>-12</v>
      </c>
      <c r="AE62" s="61">
        <v>-13</v>
      </c>
      <c r="AF62" s="61">
        <v>-14</v>
      </c>
      <c r="AG62" s="61">
        <v>-15</v>
      </c>
      <c r="AH62" s="61">
        <v>-16</v>
      </c>
      <c r="AI62" s="61">
        <v>-17</v>
      </c>
      <c r="AJ62" s="61">
        <v>-18</v>
      </c>
      <c r="AK62" s="61">
        <v>-19</v>
      </c>
      <c r="AL62" s="61">
        <v>-20</v>
      </c>
      <c r="AM62" s="61">
        <v>-21</v>
      </c>
      <c r="AN62" s="61">
        <v>-22</v>
      </c>
      <c r="AO62" s="61">
        <v>-23</v>
      </c>
      <c r="AP62" s="61">
        <v>-24</v>
      </c>
      <c r="AQ62" s="61">
        <v>-25</v>
      </c>
      <c r="AR62" s="61">
        <v>-26</v>
      </c>
      <c r="AS62" s="61">
        <v>-27</v>
      </c>
      <c r="AT62" s="61">
        <v>-28</v>
      </c>
      <c r="AU62" s="61">
        <v>-29</v>
      </c>
      <c r="AV62" s="61">
        <v>-30</v>
      </c>
      <c r="AW62" s="61">
        <v>-31</v>
      </c>
      <c r="AX62" s="61">
        <v>-32</v>
      </c>
      <c r="AY62" s="61">
        <v>-33</v>
      </c>
      <c r="AZ62" s="61">
        <v>-34</v>
      </c>
      <c r="BA62" s="61">
        <v>-35</v>
      </c>
      <c r="BB62" s="61">
        <v>-36</v>
      </c>
      <c r="BC62" s="61">
        <v>-37</v>
      </c>
      <c r="BD62" s="61">
        <v>-38</v>
      </c>
      <c r="BE62" s="61">
        <v>-39</v>
      </c>
      <c r="BF62" s="61">
        <v>-40</v>
      </c>
      <c r="BG62" s="61">
        <v>-41</v>
      </c>
      <c r="BH62" s="61">
        <v>-42</v>
      </c>
      <c r="BI62" s="61">
        <v>-43</v>
      </c>
      <c r="BJ62" s="61">
        <v>-44</v>
      </c>
      <c r="BK62" s="61">
        <v>-45</v>
      </c>
      <c r="BL62" s="61">
        <v>-46</v>
      </c>
      <c r="BM62" s="61">
        <v>-47</v>
      </c>
      <c r="BN62" s="61">
        <v>-48</v>
      </c>
      <c r="BO62" s="61">
        <v>-49</v>
      </c>
      <c r="BP62" s="61">
        <v>-50</v>
      </c>
      <c r="BQ62" s="61">
        <v>-51</v>
      </c>
      <c r="BR62" s="61">
        <v>-52</v>
      </c>
      <c r="BS62" s="61">
        <v>-53</v>
      </c>
      <c r="BT62" s="61">
        <v>-54</v>
      </c>
      <c r="BU62" s="61">
        <v>-55</v>
      </c>
      <c r="BV62" s="61">
        <v>-56</v>
      </c>
      <c r="BW62" s="61">
        <v>-57</v>
      </c>
      <c r="BX62" s="61">
        <v>-58</v>
      </c>
      <c r="BY62" s="61">
        <v>-59</v>
      </c>
      <c r="BZ62" s="61">
        <v>-60</v>
      </c>
      <c r="CA62" s="61">
        <v>-61</v>
      </c>
      <c r="CB62" s="61">
        <v>-62</v>
      </c>
      <c r="CC62" s="61">
        <v>-63</v>
      </c>
      <c r="CD62" s="61">
        <v>-64</v>
      </c>
      <c r="CE62" s="61">
        <v>-65</v>
      </c>
      <c r="CF62" s="61">
        <v>-66</v>
      </c>
      <c r="CG62" s="61">
        <v>-67</v>
      </c>
      <c r="CH62" s="61">
        <v>-68</v>
      </c>
      <c r="CI62" s="61">
        <v>-69</v>
      </c>
      <c r="CJ62" s="61">
        <v>-70</v>
      </c>
      <c r="CK62" s="61">
        <v>-71</v>
      </c>
      <c r="CL62" s="61">
        <v>-72</v>
      </c>
      <c r="CM62" s="61">
        <v>-73</v>
      </c>
      <c r="CN62" s="61">
        <v>-74</v>
      </c>
      <c r="CO62" s="61">
        <v>-75</v>
      </c>
      <c r="CP62" s="61">
        <v>-76</v>
      </c>
      <c r="CQ62" s="61">
        <v>-77</v>
      </c>
      <c r="CR62" s="61">
        <v>-78</v>
      </c>
      <c r="CS62" s="61">
        <v>-79</v>
      </c>
      <c r="CT62" s="62">
        <v>-80</v>
      </c>
    </row>
    <row r="63" spans="10:98" ht="15.75" thickBot="1" x14ac:dyDescent="0.3">
      <c r="Q63" s="53" t="s">
        <v>38</v>
      </c>
      <c r="R63" s="50">
        <v>0</v>
      </c>
      <c r="S63" s="51">
        <v>1</v>
      </c>
      <c r="T63" s="51">
        <v>2</v>
      </c>
      <c r="U63" s="51">
        <v>3</v>
      </c>
      <c r="V63" s="51">
        <v>4</v>
      </c>
      <c r="W63" s="51">
        <v>5</v>
      </c>
      <c r="X63" s="51">
        <v>6</v>
      </c>
      <c r="Y63" s="51">
        <v>7</v>
      </c>
      <c r="Z63" s="51">
        <v>8</v>
      </c>
      <c r="AA63" s="51">
        <v>9</v>
      </c>
      <c r="AB63" s="51">
        <v>10</v>
      </c>
      <c r="AC63" s="51">
        <v>11</v>
      </c>
      <c r="AD63" s="51">
        <v>12</v>
      </c>
      <c r="AE63" s="51">
        <v>13</v>
      </c>
      <c r="AF63" s="51">
        <v>14</v>
      </c>
      <c r="AG63" s="51">
        <v>15</v>
      </c>
      <c r="AH63" s="51">
        <v>16</v>
      </c>
      <c r="AI63" s="51">
        <v>17</v>
      </c>
      <c r="AJ63" s="51">
        <v>18</v>
      </c>
      <c r="AK63" s="51">
        <v>19</v>
      </c>
      <c r="AL63" s="51">
        <v>20</v>
      </c>
      <c r="AM63" s="51">
        <v>21</v>
      </c>
      <c r="AN63" s="51">
        <v>22</v>
      </c>
      <c r="AO63" s="51">
        <v>23</v>
      </c>
      <c r="AP63" s="51">
        <v>24</v>
      </c>
      <c r="AQ63" s="51">
        <v>25</v>
      </c>
      <c r="AR63" s="51">
        <v>26</v>
      </c>
      <c r="AS63" s="51">
        <v>27</v>
      </c>
      <c r="AT63" s="51">
        <v>28</v>
      </c>
      <c r="AU63" s="51">
        <v>29</v>
      </c>
      <c r="AV63" s="51">
        <v>30</v>
      </c>
      <c r="AW63" s="51">
        <v>31</v>
      </c>
      <c r="AX63" s="51">
        <v>32</v>
      </c>
      <c r="AY63" s="51">
        <v>33</v>
      </c>
      <c r="AZ63" s="51">
        <v>34</v>
      </c>
      <c r="BA63" s="51">
        <v>35</v>
      </c>
      <c r="BB63" s="51">
        <v>36</v>
      </c>
      <c r="BC63" s="51">
        <v>37</v>
      </c>
      <c r="BD63" s="51">
        <v>38</v>
      </c>
      <c r="BE63" s="51">
        <v>39</v>
      </c>
      <c r="BF63" s="51">
        <v>40</v>
      </c>
      <c r="BG63" s="51">
        <v>41</v>
      </c>
      <c r="BH63" s="51">
        <v>42</v>
      </c>
      <c r="BI63" s="51">
        <v>43</v>
      </c>
      <c r="BJ63" s="51">
        <v>44</v>
      </c>
      <c r="BK63" s="51">
        <v>45</v>
      </c>
      <c r="BL63" s="51">
        <v>46</v>
      </c>
      <c r="BM63" s="51">
        <v>47</v>
      </c>
      <c r="BN63" s="51">
        <v>48</v>
      </c>
      <c r="BO63" s="51">
        <v>49</v>
      </c>
      <c r="BP63" s="51">
        <v>50</v>
      </c>
      <c r="BQ63" s="51">
        <v>51</v>
      </c>
      <c r="BR63" s="51">
        <v>52</v>
      </c>
      <c r="BS63" s="51">
        <v>53</v>
      </c>
      <c r="BT63" s="51">
        <v>54</v>
      </c>
      <c r="BU63" s="51">
        <v>55</v>
      </c>
      <c r="BV63" s="51">
        <v>56</v>
      </c>
      <c r="BW63" s="51">
        <v>57</v>
      </c>
      <c r="BX63" s="51">
        <v>58</v>
      </c>
      <c r="BY63" s="51">
        <v>59</v>
      </c>
      <c r="BZ63" s="51">
        <v>60</v>
      </c>
      <c r="CA63" s="51">
        <v>61</v>
      </c>
      <c r="CB63" s="51">
        <v>62</v>
      </c>
      <c r="CC63" s="51">
        <v>63</v>
      </c>
      <c r="CD63" s="51">
        <v>64</v>
      </c>
      <c r="CE63" s="51">
        <v>65</v>
      </c>
      <c r="CF63" s="51">
        <v>66</v>
      </c>
      <c r="CG63" s="51">
        <v>67</v>
      </c>
      <c r="CH63" s="51">
        <v>68</v>
      </c>
      <c r="CI63" s="51">
        <v>69</v>
      </c>
      <c r="CJ63" s="51">
        <v>70</v>
      </c>
      <c r="CK63" s="51">
        <v>71</v>
      </c>
      <c r="CL63" s="51">
        <v>72</v>
      </c>
      <c r="CM63" s="51">
        <v>73</v>
      </c>
      <c r="CN63" s="51">
        <v>74</v>
      </c>
      <c r="CO63" s="51">
        <v>75</v>
      </c>
      <c r="CP63" s="51">
        <v>76</v>
      </c>
      <c r="CQ63" s="51">
        <v>77</v>
      </c>
      <c r="CR63" s="51">
        <v>78</v>
      </c>
      <c r="CS63" s="51">
        <v>79</v>
      </c>
      <c r="CT63" s="52">
        <v>80</v>
      </c>
    </row>
    <row r="64" spans="10:98" x14ac:dyDescent="0.25">
      <c r="K64" s="90" t="s">
        <v>60</v>
      </c>
      <c r="L64" s="87">
        <v>60</v>
      </c>
      <c r="N64" s="156" t="s">
        <v>37</v>
      </c>
      <c r="O64" s="153" t="s">
        <v>51</v>
      </c>
      <c r="P64" s="121" t="s">
        <v>54</v>
      </c>
      <c r="Q64" s="56" t="s">
        <v>56</v>
      </c>
      <c r="R64" s="141">
        <v>1</v>
      </c>
      <c r="S64" s="39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0</v>
      </c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0</v>
      </c>
      <c r="AX64" s="34">
        <v>0</v>
      </c>
      <c r="AY64" s="34">
        <v>0</v>
      </c>
      <c r="AZ64" s="34">
        <v>0</v>
      </c>
      <c r="BA64" s="34">
        <v>0</v>
      </c>
      <c r="BB64" s="34">
        <v>0</v>
      </c>
      <c r="BC64" s="34">
        <v>0</v>
      </c>
      <c r="BD64" s="34">
        <v>0</v>
      </c>
      <c r="BE64" s="34">
        <v>0</v>
      </c>
      <c r="BF64" s="34">
        <v>0</v>
      </c>
      <c r="BG64" s="34">
        <v>0</v>
      </c>
      <c r="BH64" s="34">
        <v>0</v>
      </c>
      <c r="BI64" s="34">
        <v>0</v>
      </c>
      <c r="BJ64" s="34">
        <v>0</v>
      </c>
      <c r="BK64" s="34">
        <v>0</v>
      </c>
      <c r="BL64" s="34">
        <v>0</v>
      </c>
      <c r="BM64" s="34">
        <v>0</v>
      </c>
      <c r="BN64" s="34">
        <v>0</v>
      </c>
      <c r="BO64" s="34">
        <v>0</v>
      </c>
      <c r="BP64" s="34">
        <v>0</v>
      </c>
      <c r="BQ64" s="34">
        <v>0</v>
      </c>
      <c r="BR64" s="34">
        <v>0</v>
      </c>
      <c r="BS64" s="34">
        <v>0</v>
      </c>
      <c r="BT64" s="34">
        <v>0</v>
      </c>
      <c r="BU64" s="34">
        <v>0</v>
      </c>
      <c r="BV64" s="34">
        <v>0</v>
      </c>
      <c r="BW64" s="34">
        <v>0</v>
      </c>
      <c r="BX64" s="34">
        <v>0</v>
      </c>
      <c r="BY64" s="34">
        <v>0</v>
      </c>
      <c r="BZ64" s="74">
        <v>2</v>
      </c>
      <c r="CA64" s="34">
        <v>0</v>
      </c>
      <c r="CB64" s="34">
        <v>0</v>
      </c>
      <c r="CC64" s="34">
        <v>0</v>
      </c>
      <c r="CD64" s="34">
        <v>0</v>
      </c>
      <c r="CE64" s="34">
        <v>0</v>
      </c>
      <c r="CF64" s="34">
        <v>0</v>
      </c>
      <c r="CG64" s="34">
        <v>0</v>
      </c>
      <c r="CH64" s="34">
        <v>0</v>
      </c>
      <c r="CI64" s="34">
        <v>0</v>
      </c>
      <c r="CJ64" s="34">
        <v>0</v>
      </c>
      <c r="CK64" s="34">
        <v>0</v>
      </c>
      <c r="CL64" s="34">
        <v>0</v>
      </c>
      <c r="CM64" s="34">
        <v>0</v>
      </c>
      <c r="CN64" s="34">
        <v>0</v>
      </c>
      <c r="CO64" s="34">
        <v>0</v>
      </c>
      <c r="CP64" s="34">
        <v>0</v>
      </c>
      <c r="CQ64" s="34">
        <v>0</v>
      </c>
      <c r="CR64" s="34">
        <v>0</v>
      </c>
      <c r="CS64" s="34">
        <v>0</v>
      </c>
      <c r="CT64" s="35">
        <v>0</v>
      </c>
    </row>
    <row r="65" spans="7:98" x14ac:dyDescent="0.25">
      <c r="K65" s="91" t="s">
        <v>61</v>
      </c>
      <c r="L65" s="88">
        <v>0</v>
      </c>
      <c r="N65" s="157"/>
      <c r="O65" s="154"/>
      <c r="P65" s="122"/>
      <c r="Q65" s="57" t="s">
        <v>57</v>
      </c>
      <c r="R65" s="142"/>
      <c r="S65" s="63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0</v>
      </c>
      <c r="CM65" s="30">
        <v>0</v>
      </c>
      <c r="CN65" s="30">
        <v>0</v>
      </c>
      <c r="CO65" s="30">
        <v>0</v>
      </c>
      <c r="CP65" s="30">
        <v>0</v>
      </c>
      <c r="CQ65" s="30">
        <v>0</v>
      </c>
      <c r="CR65" s="30">
        <v>0</v>
      </c>
      <c r="CS65" s="30">
        <v>0</v>
      </c>
      <c r="CT65" s="64">
        <v>0</v>
      </c>
    </row>
    <row r="66" spans="7:98" ht="15.75" thickBot="1" x14ac:dyDescent="0.3">
      <c r="K66" s="92" t="s">
        <v>62</v>
      </c>
      <c r="L66" s="89" t="s">
        <v>11</v>
      </c>
      <c r="N66" s="157"/>
      <c r="O66" s="154"/>
      <c r="P66" s="122"/>
      <c r="Q66" s="71" t="s">
        <v>59</v>
      </c>
      <c r="R66" s="125">
        <v>0</v>
      </c>
      <c r="S66" s="72">
        <v>1</v>
      </c>
      <c r="T66" s="68">
        <v>2</v>
      </c>
      <c r="U66" s="68">
        <v>3</v>
      </c>
      <c r="V66" s="68">
        <v>4</v>
      </c>
      <c r="W66" s="68">
        <v>5</v>
      </c>
      <c r="X66" s="68">
        <v>6</v>
      </c>
      <c r="Y66" s="68">
        <v>7</v>
      </c>
      <c r="Z66" s="68">
        <v>8</v>
      </c>
      <c r="AA66" s="68">
        <v>9</v>
      </c>
      <c r="AB66" s="68">
        <v>10</v>
      </c>
      <c r="AC66" s="68">
        <v>11</v>
      </c>
      <c r="AD66" s="68">
        <v>12</v>
      </c>
      <c r="AE66" s="68">
        <v>13</v>
      </c>
      <c r="AF66" s="68">
        <v>14</v>
      </c>
      <c r="AG66" s="68">
        <v>15</v>
      </c>
      <c r="AH66" s="68">
        <v>16</v>
      </c>
      <c r="AI66" s="68">
        <v>17</v>
      </c>
      <c r="AJ66" s="68">
        <v>18</v>
      </c>
      <c r="AK66" s="68">
        <v>19</v>
      </c>
      <c r="AL66" s="68">
        <v>20</v>
      </c>
      <c r="AM66" s="68">
        <v>21</v>
      </c>
      <c r="AN66" s="68">
        <v>22</v>
      </c>
      <c r="AO66" s="68">
        <v>23</v>
      </c>
      <c r="AP66" s="68">
        <v>24</v>
      </c>
      <c r="AQ66" s="68">
        <v>25</v>
      </c>
      <c r="AR66" s="68">
        <v>26</v>
      </c>
      <c r="AS66" s="68">
        <v>27</v>
      </c>
      <c r="AT66" s="68">
        <v>28</v>
      </c>
      <c r="AU66" s="68">
        <v>29</v>
      </c>
      <c r="AV66" s="68">
        <v>30</v>
      </c>
      <c r="AW66" s="68">
        <v>31</v>
      </c>
      <c r="AX66" s="68">
        <v>32</v>
      </c>
      <c r="AY66" s="68">
        <v>33</v>
      </c>
      <c r="AZ66" s="68">
        <v>34</v>
      </c>
      <c r="BA66" s="68">
        <v>35</v>
      </c>
      <c r="BB66" s="68">
        <v>36</v>
      </c>
      <c r="BC66" s="68">
        <v>37</v>
      </c>
      <c r="BD66" s="68">
        <v>38</v>
      </c>
      <c r="BE66" s="68">
        <v>39</v>
      </c>
      <c r="BF66" s="68">
        <v>40</v>
      </c>
      <c r="BG66" s="68">
        <v>41</v>
      </c>
      <c r="BH66" s="68">
        <v>42</v>
      </c>
      <c r="BI66" s="68">
        <v>43</v>
      </c>
      <c r="BJ66" s="68">
        <v>44</v>
      </c>
      <c r="BK66" s="68">
        <v>45</v>
      </c>
      <c r="BL66" s="68">
        <v>46</v>
      </c>
      <c r="BM66" s="68">
        <v>47</v>
      </c>
      <c r="BN66" s="68">
        <v>48</v>
      </c>
      <c r="BO66" s="68">
        <v>49</v>
      </c>
      <c r="BP66" s="68">
        <v>50</v>
      </c>
      <c r="BQ66" s="68">
        <v>51</v>
      </c>
      <c r="BR66" s="68">
        <v>52</v>
      </c>
      <c r="BS66" s="68">
        <v>53</v>
      </c>
      <c r="BT66" s="68">
        <v>54</v>
      </c>
      <c r="BU66" s="68">
        <v>55</v>
      </c>
      <c r="BV66" s="68">
        <v>56</v>
      </c>
      <c r="BW66" s="68">
        <v>57</v>
      </c>
      <c r="BX66" s="68">
        <v>58</v>
      </c>
      <c r="BY66" s="68">
        <v>59</v>
      </c>
      <c r="BZ66" s="68">
        <v>60</v>
      </c>
      <c r="CA66" s="73">
        <v>1</v>
      </c>
      <c r="CB66" s="68">
        <v>2</v>
      </c>
      <c r="CC66" s="68">
        <v>3</v>
      </c>
      <c r="CD66" s="68">
        <v>4</v>
      </c>
      <c r="CE66" s="68">
        <v>5</v>
      </c>
      <c r="CF66" s="68">
        <v>6</v>
      </c>
      <c r="CG66" s="68">
        <v>7</v>
      </c>
      <c r="CH66" s="68">
        <v>8</v>
      </c>
      <c r="CI66" s="68">
        <v>9</v>
      </c>
      <c r="CJ66" s="68">
        <v>10</v>
      </c>
      <c r="CK66" s="68">
        <v>11</v>
      </c>
      <c r="CL66" s="68">
        <v>12</v>
      </c>
      <c r="CM66" s="68">
        <v>13</v>
      </c>
      <c r="CN66" s="68">
        <v>14</v>
      </c>
      <c r="CO66" s="68">
        <v>15</v>
      </c>
      <c r="CP66" s="68">
        <v>16</v>
      </c>
      <c r="CQ66" s="68">
        <v>17</v>
      </c>
      <c r="CR66" s="68">
        <v>18</v>
      </c>
      <c r="CS66" s="68">
        <v>19</v>
      </c>
      <c r="CT66" s="69">
        <v>20</v>
      </c>
    </row>
    <row r="67" spans="7:98" ht="15.75" thickBot="1" x14ac:dyDescent="0.3">
      <c r="K67" s="24"/>
      <c r="L67" s="1"/>
      <c r="N67" s="157"/>
      <c r="O67" s="154"/>
      <c r="P67" s="123"/>
      <c r="Q67" s="70" t="s">
        <v>58</v>
      </c>
      <c r="R67" s="143"/>
      <c r="S67" s="65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0</v>
      </c>
      <c r="AG67" s="66">
        <v>0</v>
      </c>
      <c r="AH67" s="66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6">
        <v>0</v>
      </c>
      <c r="AU67" s="66">
        <v>0</v>
      </c>
      <c r="AV67" s="66">
        <v>0</v>
      </c>
      <c r="AW67" s="66">
        <v>0</v>
      </c>
      <c r="AX67" s="66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6">
        <v>0</v>
      </c>
      <c r="BK67" s="66">
        <v>0</v>
      </c>
      <c r="BL67" s="66">
        <v>0</v>
      </c>
      <c r="BM67" s="66">
        <v>0</v>
      </c>
      <c r="BN67" s="66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  <c r="BT67" s="66">
        <v>0</v>
      </c>
      <c r="BU67" s="66">
        <v>0</v>
      </c>
      <c r="BV67" s="66">
        <v>0</v>
      </c>
      <c r="BW67" s="66">
        <v>0</v>
      </c>
      <c r="BX67" s="66">
        <v>0</v>
      </c>
      <c r="BY67" s="66">
        <v>0</v>
      </c>
      <c r="BZ67" s="66">
        <v>0</v>
      </c>
      <c r="CA67" s="66">
        <v>0</v>
      </c>
      <c r="CB67" s="66">
        <v>0</v>
      </c>
      <c r="CC67" s="66">
        <v>0</v>
      </c>
      <c r="CD67" s="66">
        <v>0</v>
      </c>
      <c r="CE67" s="66">
        <v>0</v>
      </c>
      <c r="CF67" s="66">
        <v>0</v>
      </c>
      <c r="CG67" s="66">
        <v>0</v>
      </c>
      <c r="CH67" s="66">
        <v>0</v>
      </c>
      <c r="CI67" s="66">
        <v>0</v>
      </c>
      <c r="CJ67" s="66">
        <v>0</v>
      </c>
      <c r="CK67" s="66">
        <v>0</v>
      </c>
      <c r="CL67" s="66">
        <v>0</v>
      </c>
      <c r="CM67" s="66">
        <v>0</v>
      </c>
      <c r="CN67" s="66">
        <v>0</v>
      </c>
      <c r="CO67" s="66">
        <v>0</v>
      </c>
      <c r="CP67" s="66">
        <v>0</v>
      </c>
      <c r="CQ67" s="66">
        <v>0</v>
      </c>
      <c r="CR67" s="66">
        <v>0</v>
      </c>
      <c r="CS67" s="66">
        <v>0</v>
      </c>
      <c r="CT67" s="67">
        <v>0</v>
      </c>
    </row>
    <row r="68" spans="7:98" x14ac:dyDescent="0.25">
      <c r="K68" s="93" t="s">
        <v>60</v>
      </c>
      <c r="L68" s="8">
        <v>40</v>
      </c>
      <c r="N68" s="157"/>
      <c r="O68" s="154"/>
      <c r="P68" s="128" t="s">
        <v>55</v>
      </c>
      <c r="Q68" s="56" t="s">
        <v>56</v>
      </c>
      <c r="R68" s="124">
        <v>0</v>
      </c>
      <c r="S68" s="27">
        <v>0</v>
      </c>
      <c r="T68" s="27">
        <v>0</v>
      </c>
      <c r="U68" s="27">
        <v>0</v>
      </c>
      <c r="V68" s="27">
        <v>0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73">
        <v>1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>
        <v>0</v>
      </c>
      <c r="AV68" s="27">
        <v>0</v>
      </c>
      <c r="AW68" s="27">
        <v>0</v>
      </c>
      <c r="AX68" s="27">
        <v>0</v>
      </c>
      <c r="AY68" s="27">
        <v>0</v>
      </c>
      <c r="AZ68" s="27">
        <v>0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0</v>
      </c>
      <c r="BN68" s="27">
        <v>0</v>
      </c>
      <c r="BO68" s="27">
        <v>0</v>
      </c>
      <c r="BP68" s="27">
        <v>0</v>
      </c>
      <c r="BQ68" s="27">
        <v>0</v>
      </c>
      <c r="BR68" s="27">
        <v>0</v>
      </c>
      <c r="BS68" s="27">
        <v>0</v>
      </c>
      <c r="BT68" s="27">
        <v>0</v>
      </c>
      <c r="BU68" s="73">
        <v>2</v>
      </c>
      <c r="BV68" s="27">
        <v>0</v>
      </c>
      <c r="BW68" s="27">
        <v>0</v>
      </c>
      <c r="BX68" s="27">
        <v>0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0</v>
      </c>
      <c r="CF68" s="27">
        <v>0</v>
      </c>
      <c r="CG68" s="27">
        <v>0</v>
      </c>
      <c r="CH68" s="27">
        <v>0</v>
      </c>
      <c r="CI68" s="27">
        <v>0</v>
      </c>
      <c r="CJ68" s="27">
        <v>0</v>
      </c>
      <c r="CK68" s="27">
        <v>0</v>
      </c>
      <c r="CL68" s="27">
        <v>0</v>
      </c>
      <c r="CM68" s="27">
        <v>0</v>
      </c>
      <c r="CN68" s="27">
        <v>0</v>
      </c>
      <c r="CO68" s="27">
        <v>0</v>
      </c>
      <c r="CP68" s="27">
        <v>0</v>
      </c>
      <c r="CQ68" s="27">
        <v>0</v>
      </c>
      <c r="CR68" s="27">
        <v>0</v>
      </c>
      <c r="CS68" s="27">
        <v>0</v>
      </c>
      <c r="CT68" s="31">
        <v>0</v>
      </c>
    </row>
    <row r="69" spans="7:98" x14ac:dyDescent="0.25">
      <c r="K69" s="94" t="s">
        <v>61</v>
      </c>
      <c r="L69" s="10">
        <v>15</v>
      </c>
      <c r="N69" s="157"/>
      <c r="O69" s="154"/>
      <c r="P69" s="129"/>
      <c r="Q69" s="57" t="s">
        <v>57</v>
      </c>
      <c r="R69" s="125"/>
      <c r="S69" s="63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0</v>
      </c>
      <c r="BJ69" s="30">
        <v>0</v>
      </c>
      <c r="BK69" s="30">
        <v>0</v>
      </c>
      <c r="BL69" s="30">
        <v>0</v>
      </c>
      <c r="BM69" s="30">
        <v>0</v>
      </c>
      <c r="BN69" s="30">
        <v>0</v>
      </c>
      <c r="BO69" s="30">
        <v>0</v>
      </c>
      <c r="BP69" s="30">
        <v>0</v>
      </c>
      <c r="BQ69" s="30">
        <v>0</v>
      </c>
      <c r="BR69" s="30">
        <v>0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0</v>
      </c>
      <c r="CD69" s="30">
        <v>0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K69" s="30">
        <v>0</v>
      </c>
      <c r="CL69" s="30">
        <v>0</v>
      </c>
      <c r="CM69" s="30">
        <v>0</v>
      </c>
      <c r="CN69" s="30">
        <v>0</v>
      </c>
      <c r="CO69" s="30">
        <v>0</v>
      </c>
      <c r="CP69" s="30">
        <v>0</v>
      </c>
      <c r="CQ69" s="30">
        <v>0</v>
      </c>
      <c r="CR69" s="30">
        <v>0</v>
      </c>
      <c r="CS69" s="30">
        <v>0</v>
      </c>
      <c r="CT69" s="64">
        <v>0</v>
      </c>
    </row>
    <row r="70" spans="7:98" ht="15.75" thickBot="1" x14ac:dyDescent="0.3">
      <c r="K70" s="95" t="s">
        <v>62</v>
      </c>
      <c r="L70" s="12">
        <v>2</v>
      </c>
      <c r="N70" s="157"/>
      <c r="O70" s="154"/>
      <c r="P70" s="129"/>
      <c r="Q70" s="71" t="s">
        <v>59</v>
      </c>
      <c r="R70" s="125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73">
        <v>1</v>
      </c>
      <c r="AI70" s="68">
        <v>2</v>
      </c>
      <c r="AJ70" s="68">
        <v>3</v>
      </c>
      <c r="AK70" s="68">
        <v>4</v>
      </c>
      <c r="AL70" s="68">
        <v>5</v>
      </c>
      <c r="AM70" s="68">
        <v>6</v>
      </c>
      <c r="AN70" s="68">
        <v>7</v>
      </c>
      <c r="AO70" s="68">
        <v>8</v>
      </c>
      <c r="AP70" s="68">
        <v>9</v>
      </c>
      <c r="AQ70" s="68">
        <v>10</v>
      </c>
      <c r="AR70" s="68">
        <v>11</v>
      </c>
      <c r="AS70" s="68">
        <v>12</v>
      </c>
      <c r="AT70" s="68">
        <v>13</v>
      </c>
      <c r="AU70" s="68">
        <v>14</v>
      </c>
      <c r="AV70" s="68">
        <v>15</v>
      </c>
      <c r="AW70" s="68">
        <v>16</v>
      </c>
      <c r="AX70" s="68">
        <v>17</v>
      </c>
      <c r="AY70" s="68">
        <v>18</v>
      </c>
      <c r="AZ70" s="68">
        <v>19</v>
      </c>
      <c r="BA70" s="68">
        <v>20</v>
      </c>
      <c r="BB70" s="68">
        <v>21</v>
      </c>
      <c r="BC70" s="68">
        <v>22</v>
      </c>
      <c r="BD70" s="68">
        <v>23</v>
      </c>
      <c r="BE70" s="68">
        <v>24</v>
      </c>
      <c r="BF70" s="68">
        <v>25</v>
      </c>
      <c r="BG70" s="68">
        <v>26</v>
      </c>
      <c r="BH70" s="68">
        <v>27</v>
      </c>
      <c r="BI70" s="68">
        <v>28</v>
      </c>
      <c r="BJ70" s="68">
        <v>29</v>
      </c>
      <c r="BK70" s="68">
        <v>30</v>
      </c>
      <c r="BL70" s="68">
        <v>31</v>
      </c>
      <c r="BM70" s="68">
        <v>32</v>
      </c>
      <c r="BN70" s="68">
        <v>33</v>
      </c>
      <c r="BO70" s="68">
        <v>34</v>
      </c>
      <c r="BP70" s="68">
        <v>35</v>
      </c>
      <c r="BQ70" s="68">
        <v>36</v>
      </c>
      <c r="BR70" s="68">
        <v>37</v>
      </c>
      <c r="BS70" s="68">
        <v>38</v>
      </c>
      <c r="BT70" s="68">
        <v>39</v>
      </c>
      <c r="BU70" s="68">
        <v>40</v>
      </c>
      <c r="BV70" s="73">
        <v>1</v>
      </c>
      <c r="BW70" s="68">
        <v>2</v>
      </c>
      <c r="BX70" s="68">
        <v>3</v>
      </c>
      <c r="BY70" s="68">
        <v>4</v>
      </c>
      <c r="BZ70" s="68">
        <v>5</v>
      </c>
      <c r="CA70" s="68">
        <v>6</v>
      </c>
      <c r="CB70" s="68">
        <v>7</v>
      </c>
      <c r="CC70" s="68">
        <v>8</v>
      </c>
      <c r="CD70" s="68">
        <v>9</v>
      </c>
      <c r="CE70" s="68">
        <v>10</v>
      </c>
      <c r="CF70" s="68">
        <v>11</v>
      </c>
      <c r="CG70" s="68">
        <v>12</v>
      </c>
      <c r="CH70" s="68">
        <v>13</v>
      </c>
      <c r="CI70" s="68">
        <v>14</v>
      </c>
      <c r="CJ70" s="68">
        <v>15</v>
      </c>
      <c r="CK70" s="68">
        <v>16</v>
      </c>
      <c r="CL70" s="68">
        <v>17</v>
      </c>
      <c r="CM70" s="68">
        <v>18</v>
      </c>
      <c r="CN70" s="68">
        <v>19</v>
      </c>
      <c r="CO70" s="68">
        <v>20</v>
      </c>
      <c r="CP70" s="68">
        <v>21</v>
      </c>
      <c r="CQ70" s="68">
        <v>22</v>
      </c>
      <c r="CR70" s="68">
        <v>23</v>
      </c>
      <c r="CS70" s="68">
        <v>24</v>
      </c>
      <c r="CT70" s="69">
        <v>25</v>
      </c>
    </row>
    <row r="71" spans="7:98" ht="15.75" thickBot="1" x14ac:dyDescent="0.3">
      <c r="K71" s="24"/>
      <c r="L71" s="1"/>
      <c r="N71" s="158"/>
      <c r="O71" s="155"/>
      <c r="P71" s="130"/>
      <c r="Q71" s="70" t="s">
        <v>58</v>
      </c>
      <c r="R71" s="143"/>
      <c r="S71" s="65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6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6">
        <v>0</v>
      </c>
      <c r="AU71" s="66">
        <v>0</v>
      </c>
      <c r="AV71" s="66">
        <v>0</v>
      </c>
      <c r="AW71" s="66">
        <v>0</v>
      </c>
      <c r="AX71" s="66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0</v>
      </c>
      <c r="BH71" s="66">
        <v>0</v>
      </c>
      <c r="BI71" s="66">
        <v>0</v>
      </c>
      <c r="BJ71" s="66">
        <v>0</v>
      </c>
      <c r="BK71" s="66">
        <v>0</v>
      </c>
      <c r="BL71" s="66">
        <v>0</v>
      </c>
      <c r="BM71" s="66">
        <v>0</v>
      </c>
      <c r="BN71" s="66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  <c r="BT71" s="66">
        <v>0</v>
      </c>
      <c r="BU71" s="66">
        <v>0</v>
      </c>
      <c r="BV71" s="66">
        <v>0</v>
      </c>
      <c r="BW71" s="66">
        <v>0</v>
      </c>
      <c r="BX71" s="66">
        <v>0</v>
      </c>
      <c r="BY71" s="66">
        <v>0</v>
      </c>
      <c r="BZ71" s="66">
        <v>0</v>
      </c>
      <c r="CA71" s="66">
        <v>0</v>
      </c>
      <c r="CB71" s="66">
        <v>0</v>
      </c>
      <c r="CC71" s="66">
        <v>0</v>
      </c>
      <c r="CD71" s="66">
        <v>0</v>
      </c>
      <c r="CE71" s="66">
        <v>0</v>
      </c>
      <c r="CF71" s="66">
        <v>0</v>
      </c>
      <c r="CG71" s="66">
        <v>0</v>
      </c>
      <c r="CH71" s="66">
        <v>0</v>
      </c>
      <c r="CI71" s="66">
        <v>0</v>
      </c>
      <c r="CJ71" s="66">
        <v>0</v>
      </c>
      <c r="CK71" s="66">
        <v>0</v>
      </c>
      <c r="CL71" s="66">
        <v>0</v>
      </c>
      <c r="CM71" s="66">
        <v>0</v>
      </c>
      <c r="CN71" s="66">
        <v>0</v>
      </c>
      <c r="CO71" s="66">
        <v>0</v>
      </c>
      <c r="CP71" s="66">
        <v>0</v>
      </c>
      <c r="CQ71" s="66">
        <v>0</v>
      </c>
      <c r="CR71" s="66">
        <v>0</v>
      </c>
      <c r="CS71" s="66">
        <v>0</v>
      </c>
      <c r="CT71" s="67">
        <v>0</v>
      </c>
    </row>
    <row r="72" spans="7:98" x14ac:dyDescent="0.25">
      <c r="K72" s="24"/>
      <c r="L72" s="1"/>
      <c r="N72" s="1"/>
      <c r="O72" s="1"/>
      <c r="P72" s="1"/>
      <c r="Q72" s="1"/>
      <c r="R72" s="25"/>
    </row>
    <row r="73" spans="7:98" x14ac:dyDescent="0.25">
      <c r="K73" s="24"/>
      <c r="L73" s="1"/>
      <c r="N73" s="1"/>
      <c r="O73" s="1"/>
      <c r="P73" s="1"/>
      <c r="Q73" s="1"/>
      <c r="R73" s="25"/>
    </row>
    <row r="75" spans="7:98" ht="15.75" thickBot="1" x14ac:dyDescent="0.3"/>
    <row r="76" spans="7:98" ht="15" customHeight="1" x14ac:dyDescent="0.25">
      <c r="G76" s="28"/>
      <c r="H76" s="28"/>
      <c r="I76" s="28"/>
      <c r="K76" s="90" t="s">
        <v>60</v>
      </c>
      <c r="L76" s="87">
        <v>60</v>
      </c>
      <c r="N76" s="118" t="s">
        <v>69</v>
      </c>
      <c r="P76" s="121" t="s">
        <v>54</v>
      </c>
      <c r="Q76" s="56" t="s">
        <v>56</v>
      </c>
      <c r="R76" s="141">
        <v>1</v>
      </c>
      <c r="S76" s="39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0</v>
      </c>
      <c r="AY76" s="34">
        <v>0</v>
      </c>
      <c r="AZ76" s="34">
        <v>0</v>
      </c>
      <c r="BA76" s="34">
        <v>0</v>
      </c>
      <c r="BB76" s="34">
        <v>0</v>
      </c>
      <c r="BC76" s="34">
        <v>0</v>
      </c>
      <c r="BD76" s="34">
        <v>0</v>
      </c>
      <c r="BE76" s="34">
        <v>0</v>
      </c>
      <c r="BF76" s="34">
        <v>0</v>
      </c>
      <c r="BG76" s="34">
        <v>0</v>
      </c>
      <c r="BH76" s="34">
        <v>0</v>
      </c>
      <c r="BI76" s="34">
        <v>0</v>
      </c>
      <c r="BJ76" s="34">
        <v>0</v>
      </c>
      <c r="BK76" s="34">
        <v>0</v>
      </c>
      <c r="BL76" s="34">
        <v>0</v>
      </c>
      <c r="BM76" s="34">
        <v>0</v>
      </c>
      <c r="BN76" s="34">
        <v>0</v>
      </c>
      <c r="BO76" s="34">
        <v>0</v>
      </c>
      <c r="BP76" s="34">
        <v>0</v>
      </c>
      <c r="BQ76" s="34">
        <v>0</v>
      </c>
      <c r="BR76" s="34">
        <v>0</v>
      </c>
      <c r="BS76" s="34">
        <v>0</v>
      </c>
      <c r="BT76" s="34">
        <v>0</v>
      </c>
      <c r="BU76" s="34">
        <v>0</v>
      </c>
      <c r="BV76" s="34">
        <v>0</v>
      </c>
      <c r="BW76" s="34">
        <v>0</v>
      </c>
      <c r="BX76" s="34">
        <v>0</v>
      </c>
      <c r="BY76" s="34">
        <v>0</v>
      </c>
      <c r="BZ76" s="74">
        <v>2</v>
      </c>
      <c r="CA76" s="34">
        <v>0</v>
      </c>
      <c r="CB76" s="34">
        <v>0</v>
      </c>
      <c r="CC76" s="34">
        <v>0</v>
      </c>
      <c r="CD76" s="34">
        <v>0</v>
      </c>
      <c r="CE76" s="34">
        <v>0</v>
      </c>
      <c r="CF76" s="34">
        <v>0</v>
      </c>
      <c r="CG76" s="34">
        <v>0</v>
      </c>
      <c r="CH76" s="34">
        <v>0</v>
      </c>
      <c r="CI76" s="34">
        <v>0</v>
      </c>
      <c r="CJ76" s="34">
        <v>0</v>
      </c>
      <c r="CK76" s="34">
        <v>0</v>
      </c>
      <c r="CL76" s="34">
        <v>0</v>
      </c>
      <c r="CM76" s="34">
        <v>0</v>
      </c>
      <c r="CN76" s="34">
        <v>0</v>
      </c>
      <c r="CO76" s="34">
        <v>0</v>
      </c>
      <c r="CP76" s="34">
        <v>0</v>
      </c>
      <c r="CQ76" s="34">
        <v>0</v>
      </c>
      <c r="CR76" s="34">
        <v>0</v>
      </c>
      <c r="CS76" s="34">
        <v>0</v>
      </c>
      <c r="CT76" s="35">
        <v>0</v>
      </c>
    </row>
    <row r="77" spans="7:98" x14ac:dyDescent="0.25">
      <c r="G77" s="28"/>
      <c r="H77" s="28"/>
      <c r="I77" s="28"/>
      <c r="K77" s="91" t="s">
        <v>61</v>
      </c>
      <c r="L77" s="88">
        <v>0</v>
      </c>
      <c r="N77" s="119"/>
      <c r="P77" s="122"/>
      <c r="Q77" s="57" t="s">
        <v>57</v>
      </c>
      <c r="R77" s="142"/>
      <c r="S77" s="63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30">
        <v>0</v>
      </c>
      <c r="CL77" s="30">
        <v>0</v>
      </c>
      <c r="CM77" s="30">
        <v>0</v>
      </c>
      <c r="CN77" s="30">
        <v>0</v>
      </c>
      <c r="CO77" s="30">
        <v>0</v>
      </c>
      <c r="CP77" s="30">
        <v>0</v>
      </c>
      <c r="CQ77" s="30">
        <v>0</v>
      </c>
      <c r="CR77" s="30">
        <v>0</v>
      </c>
      <c r="CS77" s="30">
        <v>0</v>
      </c>
      <c r="CT77" s="64">
        <v>0</v>
      </c>
    </row>
    <row r="78" spans="7:98" ht="15.75" thickBot="1" x14ac:dyDescent="0.3">
      <c r="G78" s="28"/>
      <c r="H78" s="28"/>
      <c r="I78" s="28"/>
      <c r="K78" s="92" t="s">
        <v>62</v>
      </c>
      <c r="L78" s="89" t="s">
        <v>11</v>
      </c>
      <c r="N78" s="119"/>
      <c r="P78" s="122"/>
      <c r="Q78" s="29" t="s">
        <v>59</v>
      </c>
      <c r="R78" s="125">
        <v>0</v>
      </c>
      <c r="S78" s="72">
        <v>1</v>
      </c>
      <c r="T78" s="68">
        <v>2</v>
      </c>
      <c r="U78" s="68">
        <v>3</v>
      </c>
      <c r="V78" s="68">
        <v>4</v>
      </c>
      <c r="W78" s="68">
        <v>5</v>
      </c>
      <c r="X78" s="68">
        <v>6</v>
      </c>
      <c r="Y78" s="68">
        <v>7</v>
      </c>
      <c r="Z78" s="68">
        <v>8</v>
      </c>
      <c r="AA78" s="68">
        <v>9</v>
      </c>
      <c r="AB78" s="68">
        <v>10</v>
      </c>
      <c r="AC78" s="68">
        <v>11</v>
      </c>
      <c r="AD78" s="68">
        <v>12</v>
      </c>
      <c r="AE78" s="68">
        <v>13</v>
      </c>
      <c r="AF78" s="68">
        <v>14</v>
      </c>
      <c r="AG78" s="68">
        <v>15</v>
      </c>
      <c r="AH78" s="68">
        <v>16</v>
      </c>
      <c r="AI78" s="68">
        <v>17</v>
      </c>
      <c r="AJ78" s="68">
        <v>18</v>
      </c>
      <c r="AK78" s="68">
        <v>19</v>
      </c>
      <c r="AL78" s="68">
        <v>20</v>
      </c>
      <c r="AM78" s="68">
        <v>21</v>
      </c>
      <c r="AN78" s="68">
        <v>22</v>
      </c>
      <c r="AO78" s="68">
        <v>23</v>
      </c>
      <c r="AP78" s="68">
        <v>24</v>
      </c>
      <c r="AQ78" s="68">
        <v>25</v>
      </c>
      <c r="AR78" s="68">
        <v>26</v>
      </c>
      <c r="AS78" s="68">
        <v>27</v>
      </c>
      <c r="AT78" s="68">
        <v>28</v>
      </c>
      <c r="AU78" s="68">
        <v>29</v>
      </c>
      <c r="AV78" s="68">
        <v>30</v>
      </c>
      <c r="AW78" s="68">
        <v>31</v>
      </c>
      <c r="AX78" s="68">
        <v>32</v>
      </c>
      <c r="AY78" s="68">
        <v>33</v>
      </c>
      <c r="AZ78" s="68">
        <v>34</v>
      </c>
      <c r="BA78" s="68">
        <v>35</v>
      </c>
      <c r="BB78" s="68">
        <v>36</v>
      </c>
      <c r="BC78" s="68">
        <v>37</v>
      </c>
      <c r="BD78" s="68">
        <v>38</v>
      </c>
      <c r="BE78" s="68">
        <v>39</v>
      </c>
      <c r="BF78" s="68">
        <v>40</v>
      </c>
      <c r="BG78" s="68">
        <v>41</v>
      </c>
      <c r="BH78" s="68">
        <v>42</v>
      </c>
      <c r="BI78" s="68">
        <v>43</v>
      </c>
      <c r="BJ78" s="68">
        <v>44</v>
      </c>
      <c r="BK78" s="68">
        <v>45</v>
      </c>
      <c r="BL78" s="68">
        <v>46</v>
      </c>
      <c r="BM78" s="68">
        <v>47</v>
      </c>
      <c r="BN78" s="68">
        <v>48</v>
      </c>
      <c r="BO78" s="68">
        <v>49</v>
      </c>
      <c r="BP78" s="68">
        <v>50</v>
      </c>
      <c r="BQ78" s="68">
        <v>51</v>
      </c>
      <c r="BR78" s="68">
        <v>52</v>
      </c>
      <c r="BS78" s="68">
        <v>53</v>
      </c>
      <c r="BT78" s="68">
        <v>54</v>
      </c>
      <c r="BU78" s="68">
        <v>55</v>
      </c>
      <c r="BV78" s="68">
        <v>56</v>
      </c>
      <c r="BW78" s="68">
        <v>57</v>
      </c>
      <c r="BX78" s="68">
        <v>58</v>
      </c>
      <c r="BY78" s="68">
        <v>59</v>
      </c>
      <c r="BZ78" s="68">
        <v>60</v>
      </c>
      <c r="CA78" s="73">
        <v>1</v>
      </c>
      <c r="CB78" s="68">
        <v>2</v>
      </c>
      <c r="CC78" s="68">
        <v>3</v>
      </c>
      <c r="CD78" s="68">
        <v>4</v>
      </c>
      <c r="CE78" s="68">
        <v>5</v>
      </c>
      <c r="CF78" s="68">
        <v>6</v>
      </c>
      <c r="CG78" s="68">
        <v>7</v>
      </c>
      <c r="CH78" s="68">
        <v>8</v>
      </c>
      <c r="CI78" s="68">
        <v>9</v>
      </c>
      <c r="CJ78" s="68">
        <v>10</v>
      </c>
      <c r="CK78" s="68">
        <v>11</v>
      </c>
      <c r="CL78" s="68">
        <v>12</v>
      </c>
      <c r="CM78" s="68">
        <v>13</v>
      </c>
      <c r="CN78" s="68">
        <v>14</v>
      </c>
      <c r="CO78" s="68">
        <v>15</v>
      </c>
      <c r="CP78" s="68">
        <v>16</v>
      </c>
      <c r="CQ78" s="68">
        <v>17</v>
      </c>
      <c r="CR78" s="68">
        <v>18</v>
      </c>
      <c r="CS78" s="68">
        <v>19</v>
      </c>
      <c r="CT78" s="69">
        <v>20</v>
      </c>
    </row>
    <row r="79" spans="7:98" ht="15.75" thickBot="1" x14ac:dyDescent="0.3">
      <c r="G79" s="28"/>
      <c r="H79" s="28"/>
      <c r="I79" s="28"/>
      <c r="K79" s="24"/>
      <c r="N79" s="119"/>
      <c r="P79" s="123"/>
      <c r="Q79" s="70" t="s">
        <v>58</v>
      </c>
      <c r="R79" s="143"/>
      <c r="S79" s="65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6">
        <v>0</v>
      </c>
      <c r="AU79" s="66">
        <v>0</v>
      </c>
      <c r="AV79" s="66">
        <v>0</v>
      </c>
      <c r="AW79" s="66">
        <v>0</v>
      </c>
      <c r="AX79" s="66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6">
        <v>0</v>
      </c>
      <c r="BK79" s="66">
        <v>0</v>
      </c>
      <c r="BL79" s="66">
        <v>0</v>
      </c>
      <c r="BM79" s="66">
        <v>0</v>
      </c>
      <c r="BN79" s="66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  <c r="BT79" s="66">
        <v>0</v>
      </c>
      <c r="BU79" s="66">
        <v>0</v>
      </c>
      <c r="BV79" s="66">
        <v>0</v>
      </c>
      <c r="BW79" s="66">
        <v>0</v>
      </c>
      <c r="BX79" s="66">
        <v>0</v>
      </c>
      <c r="BY79" s="66">
        <v>0</v>
      </c>
      <c r="BZ79" s="66">
        <v>0</v>
      </c>
      <c r="CA79" s="66">
        <v>0</v>
      </c>
      <c r="CB79" s="66">
        <v>0</v>
      </c>
      <c r="CC79" s="66">
        <v>0</v>
      </c>
      <c r="CD79" s="66">
        <v>0</v>
      </c>
      <c r="CE79" s="66">
        <v>0</v>
      </c>
      <c r="CF79" s="66">
        <v>0</v>
      </c>
      <c r="CG79" s="66">
        <v>0</v>
      </c>
      <c r="CH79" s="66">
        <v>0</v>
      </c>
      <c r="CI79" s="66">
        <v>0</v>
      </c>
      <c r="CJ79" s="66">
        <v>0</v>
      </c>
      <c r="CK79" s="66">
        <v>0</v>
      </c>
      <c r="CL79" s="66">
        <v>0</v>
      </c>
      <c r="CM79" s="66">
        <v>0</v>
      </c>
      <c r="CN79" s="66">
        <v>0</v>
      </c>
      <c r="CO79" s="66">
        <v>0</v>
      </c>
      <c r="CP79" s="66">
        <v>0</v>
      </c>
      <c r="CQ79" s="66">
        <v>0</v>
      </c>
      <c r="CR79" s="66">
        <v>0</v>
      </c>
      <c r="CS79" s="66">
        <v>0</v>
      </c>
      <c r="CT79" s="67">
        <v>0</v>
      </c>
    </row>
    <row r="80" spans="7:98" x14ac:dyDescent="0.25">
      <c r="G80" s="28"/>
      <c r="H80" s="28"/>
      <c r="I80" s="28"/>
      <c r="K80" s="93" t="s">
        <v>60</v>
      </c>
      <c r="L80" s="8">
        <v>40</v>
      </c>
      <c r="N80" s="119"/>
      <c r="P80" s="128" t="s">
        <v>55</v>
      </c>
      <c r="Q80" s="56" t="s">
        <v>56</v>
      </c>
      <c r="R80" s="124">
        <v>0</v>
      </c>
      <c r="S80" s="63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78">
        <v>2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  <c r="CE80" s="30">
        <v>0</v>
      </c>
      <c r="CF80" s="30">
        <v>0</v>
      </c>
      <c r="CG80" s="30">
        <v>0</v>
      </c>
      <c r="CH80" s="30">
        <v>0</v>
      </c>
      <c r="CI80" s="30">
        <v>0</v>
      </c>
      <c r="CJ80" s="30">
        <v>0</v>
      </c>
      <c r="CK80" s="30">
        <v>0</v>
      </c>
      <c r="CL80" s="30">
        <v>0</v>
      </c>
      <c r="CM80" s="30">
        <v>0</v>
      </c>
      <c r="CN80" s="30">
        <v>0</v>
      </c>
      <c r="CO80" s="30">
        <v>0</v>
      </c>
      <c r="CP80" s="30">
        <v>0</v>
      </c>
      <c r="CQ80" s="30">
        <v>0</v>
      </c>
      <c r="CR80" s="30">
        <v>0</v>
      </c>
      <c r="CS80" s="30">
        <v>0</v>
      </c>
      <c r="CT80" s="64">
        <v>0</v>
      </c>
    </row>
    <row r="81" spans="7:98" x14ac:dyDescent="0.25">
      <c r="G81" s="28"/>
      <c r="H81" s="28"/>
      <c r="I81" s="28"/>
      <c r="K81" s="94" t="s">
        <v>61</v>
      </c>
      <c r="L81" s="96">
        <v>-25</v>
      </c>
      <c r="N81" s="119"/>
      <c r="P81" s="129"/>
      <c r="Q81" s="57" t="s">
        <v>57</v>
      </c>
      <c r="R81" s="125"/>
      <c r="S81" s="63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79">
        <v>1</v>
      </c>
      <c r="AR81" s="30" t="s">
        <v>63</v>
      </c>
      <c r="AS81" s="30" t="s">
        <v>63</v>
      </c>
      <c r="AT81" s="30" t="s">
        <v>63</v>
      </c>
      <c r="AU81" s="30" t="s">
        <v>63</v>
      </c>
      <c r="AV81" s="30" t="s">
        <v>63</v>
      </c>
      <c r="AW81" s="30" t="s">
        <v>63</v>
      </c>
      <c r="AX81" s="30" t="s">
        <v>63</v>
      </c>
      <c r="AY81" s="30" t="s">
        <v>63</v>
      </c>
      <c r="AZ81" s="30" t="s">
        <v>63</v>
      </c>
      <c r="BA81" s="30" t="s">
        <v>63</v>
      </c>
      <c r="BB81" s="30" t="s">
        <v>63</v>
      </c>
      <c r="BC81" s="30" t="s">
        <v>63</v>
      </c>
      <c r="BD81" s="30" t="s">
        <v>63</v>
      </c>
      <c r="BE81" s="30" t="s">
        <v>63</v>
      </c>
      <c r="BF81" s="30" t="s">
        <v>63</v>
      </c>
      <c r="BG81" s="30" t="s">
        <v>63</v>
      </c>
      <c r="BH81" s="30" t="s">
        <v>63</v>
      </c>
      <c r="BI81" s="30" t="s">
        <v>63</v>
      </c>
      <c r="BJ81" s="30" t="s">
        <v>63</v>
      </c>
      <c r="BK81" s="30" t="s">
        <v>63</v>
      </c>
      <c r="BL81" s="30" t="s">
        <v>63</v>
      </c>
      <c r="BM81" s="30" t="s">
        <v>63</v>
      </c>
      <c r="BN81" s="30" t="s">
        <v>63</v>
      </c>
      <c r="BO81" s="30" t="s">
        <v>63</v>
      </c>
      <c r="BP81" s="30" t="s">
        <v>63</v>
      </c>
      <c r="BQ81" s="30" t="s">
        <v>63</v>
      </c>
      <c r="BR81" s="30" t="s">
        <v>63</v>
      </c>
      <c r="BS81" s="30" t="s">
        <v>63</v>
      </c>
      <c r="BT81" s="30" t="s">
        <v>63</v>
      </c>
      <c r="BU81" s="30" t="s">
        <v>63</v>
      </c>
      <c r="BV81" s="30" t="s">
        <v>63</v>
      </c>
      <c r="BW81" s="30" t="s">
        <v>63</v>
      </c>
      <c r="BX81" s="30" t="s">
        <v>63</v>
      </c>
      <c r="BY81" s="30" t="s">
        <v>63</v>
      </c>
      <c r="BZ81" s="30" t="s">
        <v>63</v>
      </c>
      <c r="CA81" s="30" t="s">
        <v>63</v>
      </c>
      <c r="CB81" s="30" t="s">
        <v>63</v>
      </c>
      <c r="CC81" s="30" t="s">
        <v>63</v>
      </c>
      <c r="CD81" s="30" t="s">
        <v>63</v>
      </c>
      <c r="CE81" s="30" t="s">
        <v>63</v>
      </c>
      <c r="CF81" s="30" t="s">
        <v>63</v>
      </c>
      <c r="CG81" s="30" t="s">
        <v>63</v>
      </c>
      <c r="CH81" s="30" t="s">
        <v>63</v>
      </c>
      <c r="CI81" s="30" t="s">
        <v>63</v>
      </c>
      <c r="CJ81" s="30" t="s">
        <v>63</v>
      </c>
      <c r="CK81" s="30" t="s">
        <v>63</v>
      </c>
      <c r="CL81" s="30" t="s">
        <v>63</v>
      </c>
      <c r="CM81" s="30" t="s">
        <v>63</v>
      </c>
      <c r="CN81" s="30" t="s">
        <v>63</v>
      </c>
      <c r="CO81" s="30" t="s">
        <v>63</v>
      </c>
      <c r="CP81" s="30" t="s">
        <v>63</v>
      </c>
      <c r="CQ81" s="30" t="s">
        <v>63</v>
      </c>
      <c r="CR81" s="30" t="s">
        <v>63</v>
      </c>
      <c r="CS81" s="30" t="s">
        <v>63</v>
      </c>
      <c r="CT81" s="64" t="s">
        <v>63</v>
      </c>
    </row>
    <row r="82" spans="7:98" ht="15.75" thickBot="1" x14ac:dyDescent="0.3">
      <c r="G82" s="28"/>
      <c r="H82" s="28"/>
      <c r="I82" s="28"/>
      <c r="K82" s="95" t="s">
        <v>62</v>
      </c>
      <c r="L82" s="97">
        <v>2</v>
      </c>
      <c r="N82" s="119"/>
      <c r="P82" s="129"/>
      <c r="Q82" s="29" t="s">
        <v>59</v>
      </c>
      <c r="R82" s="126">
        <v>25</v>
      </c>
      <c r="S82" s="77">
        <v>26</v>
      </c>
      <c r="T82" s="77">
        <v>27</v>
      </c>
      <c r="U82" s="77">
        <v>28</v>
      </c>
      <c r="V82" s="77">
        <v>29</v>
      </c>
      <c r="W82" s="77">
        <v>30</v>
      </c>
      <c r="X82" s="77">
        <v>31</v>
      </c>
      <c r="Y82" s="77">
        <v>32</v>
      </c>
      <c r="Z82" s="77">
        <v>33</v>
      </c>
      <c r="AA82" s="77">
        <v>34</v>
      </c>
      <c r="AB82" s="77">
        <v>35</v>
      </c>
      <c r="AC82" s="77">
        <v>36</v>
      </c>
      <c r="AD82" s="77">
        <v>37</v>
      </c>
      <c r="AE82" s="77">
        <v>38</v>
      </c>
      <c r="AF82" s="77">
        <v>39</v>
      </c>
      <c r="AG82" s="77">
        <v>40</v>
      </c>
      <c r="AH82" s="78">
        <v>1</v>
      </c>
      <c r="AI82" s="77">
        <v>2</v>
      </c>
      <c r="AJ82" s="77">
        <v>3</v>
      </c>
      <c r="AK82" s="77">
        <v>4</v>
      </c>
      <c r="AL82" s="77">
        <v>5</v>
      </c>
      <c r="AM82" s="77">
        <v>6</v>
      </c>
      <c r="AN82" s="77">
        <v>7</v>
      </c>
      <c r="AO82" s="77">
        <v>8</v>
      </c>
      <c r="AP82" s="77">
        <v>9</v>
      </c>
      <c r="AQ82" s="77">
        <v>10</v>
      </c>
      <c r="AR82" s="77">
        <v>11</v>
      </c>
      <c r="AS82" s="77">
        <v>12</v>
      </c>
      <c r="AT82" s="77">
        <v>13</v>
      </c>
      <c r="AU82" s="77">
        <v>14</v>
      </c>
      <c r="AV82" s="77">
        <v>15</v>
      </c>
      <c r="AW82" s="77">
        <v>16</v>
      </c>
      <c r="AX82" s="77">
        <v>17</v>
      </c>
      <c r="AY82" s="77">
        <v>18</v>
      </c>
      <c r="AZ82" s="77">
        <v>19</v>
      </c>
      <c r="BA82" s="77">
        <v>20</v>
      </c>
      <c r="BB82" s="77">
        <v>21</v>
      </c>
      <c r="BC82" s="77">
        <v>22</v>
      </c>
      <c r="BD82" s="77">
        <v>23</v>
      </c>
      <c r="BE82" s="77">
        <v>24</v>
      </c>
      <c r="BF82" s="77">
        <v>25</v>
      </c>
      <c r="BG82" s="77">
        <v>26</v>
      </c>
      <c r="BH82" s="77">
        <v>27</v>
      </c>
      <c r="BI82" s="77">
        <v>28</v>
      </c>
      <c r="BJ82" s="77">
        <v>29</v>
      </c>
      <c r="BK82" s="77">
        <v>30</v>
      </c>
      <c r="BL82" s="77">
        <v>31</v>
      </c>
      <c r="BM82" s="77">
        <v>32</v>
      </c>
      <c r="BN82" s="77">
        <v>33</v>
      </c>
      <c r="BO82" s="77">
        <v>34</v>
      </c>
      <c r="BP82" s="77">
        <v>35</v>
      </c>
      <c r="BQ82" s="77">
        <v>36</v>
      </c>
      <c r="BR82" s="77">
        <v>37</v>
      </c>
      <c r="BS82" s="77">
        <v>38</v>
      </c>
      <c r="BT82" s="77">
        <v>39</v>
      </c>
      <c r="BU82" s="77">
        <v>40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K82" s="30">
        <v>0</v>
      </c>
      <c r="CL82" s="30">
        <v>0</v>
      </c>
      <c r="CM82" s="30">
        <v>0</v>
      </c>
      <c r="CN82" s="30">
        <v>0</v>
      </c>
      <c r="CO82" s="30">
        <v>0</v>
      </c>
      <c r="CP82" s="30">
        <v>0</v>
      </c>
      <c r="CQ82" s="30">
        <v>0</v>
      </c>
      <c r="CR82" s="30">
        <v>0</v>
      </c>
      <c r="CS82" s="30">
        <v>0</v>
      </c>
      <c r="CT82" s="64">
        <v>0</v>
      </c>
    </row>
    <row r="83" spans="7:98" ht="15.75" thickBot="1" x14ac:dyDescent="0.3">
      <c r="G83" s="28"/>
      <c r="H83" s="28"/>
      <c r="I83" s="28"/>
      <c r="N83" s="120"/>
      <c r="P83" s="130"/>
      <c r="Q83" s="70" t="s">
        <v>58</v>
      </c>
      <c r="R83" s="127"/>
      <c r="S83" s="75">
        <v>24</v>
      </c>
      <c r="T83" s="75">
        <v>23</v>
      </c>
      <c r="U83" s="75">
        <v>22</v>
      </c>
      <c r="V83" s="75">
        <v>21</v>
      </c>
      <c r="W83" s="75">
        <v>20</v>
      </c>
      <c r="X83" s="75">
        <v>19</v>
      </c>
      <c r="Y83" s="75">
        <v>18</v>
      </c>
      <c r="Z83" s="75">
        <v>17</v>
      </c>
      <c r="AA83" s="75">
        <v>16</v>
      </c>
      <c r="AB83" s="75">
        <v>15</v>
      </c>
      <c r="AC83" s="75">
        <v>14</v>
      </c>
      <c r="AD83" s="75">
        <v>13</v>
      </c>
      <c r="AE83" s="75">
        <v>12</v>
      </c>
      <c r="AF83" s="75">
        <v>11</v>
      </c>
      <c r="AG83" s="75">
        <v>10</v>
      </c>
      <c r="AH83" s="75">
        <v>9</v>
      </c>
      <c r="AI83" s="75">
        <v>8</v>
      </c>
      <c r="AJ83" s="75">
        <v>7</v>
      </c>
      <c r="AK83" s="75">
        <v>6</v>
      </c>
      <c r="AL83" s="75">
        <v>5</v>
      </c>
      <c r="AM83" s="75">
        <v>4</v>
      </c>
      <c r="AN83" s="75">
        <v>3</v>
      </c>
      <c r="AO83" s="75">
        <v>2</v>
      </c>
      <c r="AP83" s="80">
        <v>1</v>
      </c>
      <c r="AQ83" s="66" t="s">
        <v>63</v>
      </c>
      <c r="AR83" s="66" t="s">
        <v>63</v>
      </c>
      <c r="AS83" s="66" t="s">
        <v>63</v>
      </c>
      <c r="AT83" s="66" t="s">
        <v>63</v>
      </c>
      <c r="AU83" s="66" t="s">
        <v>63</v>
      </c>
      <c r="AV83" s="66" t="s">
        <v>63</v>
      </c>
      <c r="AW83" s="66" t="s">
        <v>63</v>
      </c>
      <c r="AX83" s="66" t="s">
        <v>63</v>
      </c>
      <c r="AY83" s="66" t="s">
        <v>63</v>
      </c>
      <c r="AZ83" s="66" t="s">
        <v>63</v>
      </c>
      <c r="BA83" s="66" t="s">
        <v>63</v>
      </c>
      <c r="BB83" s="66" t="s">
        <v>63</v>
      </c>
      <c r="BC83" s="66" t="s">
        <v>63</v>
      </c>
      <c r="BD83" s="66" t="s">
        <v>63</v>
      </c>
      <c r="BE83" s="66" t="s">
        <v>63</v>
      </c>
      <c r="BF83" s="66" t="s">
        <v>63</v>
      </c>
      <c r="BG83" s="66" t="s">
        <v>63</v>
      </c>
      <c r="BH83" s="66" t="s">
        <v>63</v>
      </c>
      <c r="BI83" s="66" t="s">
        <v>63</v>
      </c>
      <c r="BJ83" s="66" t="s">
        <v>63</v>
      </c>
      <c r="BK83" s="66" t="s">
        <v>63</v>
      </c>
      <c r="BL83" s="66" t="s">
        <v>63</v>
      </c>
      <c r="BM83" s="66" t="s">
        <v>63</v>
      </c>
      <c r="BN83" s="66" t="s">
        <v>63</v>
      </c>
      <c r="BO83" s="66" t="s">
        <v>63</v>
      </c>
      <c r="BP83" s="66" t="s">
        <v>63</v>
      </c>
      <c r="BQ83" s="66" t="s">
        <v>63</v>
      </c>
      <c r="BR83" s="66" t="s">
        <v>63</v>
      </c>
      <c r="BS83" s="66" t="s">
        <v>63</v>
      </c>
      <c r="BT83" s="66" t="s">
        <v>63</v>
      </c>
      <c r="BU83" s="66" t="s">
        <v>63</v>
      </c>
      <c r="BV83" s="66" t="s">
        <v>63</v>
      </c>
      <c r="BW83" s="66" t="s">
        <v>63</v>
      </c>
      <c r="BX83" s="66" t="s">
        <v>63</v>
      </c>
      <c r="BY83" s="66" t="s">
        <v>63</v>
      </c>
      <c r="BZ83" s="66" t="s">
        <v>63</v>
      </c>
      <c r="CA83" s="66" t="s">
        <v>63</v>
      </c>
      <c r="CB83" s="66" t="s">
        <v>63</v>
      </c>
      <c r="CC83" s="66" t="s">
        <v>63</v>
      </c>
      <c r="CD83" s="66" t="s">
        <v>63</v>
      </c>
      <c r="CE83" s="66" t="s">
        <v>63</v>
      </c>
      <c r="CF83" s="66" t="s">
        <v>63</v>
      </c>
      <c r="CG83" s="66" t="s">
        <v>63</v>
      </c>
      <c r="CH83" s="66" t="s">
        <v>63</v>
      </c>
      <c r="CI83" s="66" t="s">
        <v>63</v>
      </c>
      <c r="CJ83" s="66" t="s">
        <v>63</v>
      </c>
      <c r="CK83" s="66" t="s">
        <v>63</v>
      </c>
      <c r="CL83" s="66" t="s">
        <v>63</v>
      </c>
      <c r="CM83" s="66" t="s">
        <v>63</v>
      </c>
      <c r="CN83" s="66" t="s">
        <v>63</v>
      </c>
      <c r="CO83" s="66" t="s">
        <v>63</v>
      </c>
      <c r="CP83" s="66" t="s">
        <v>63</v>
      </c>
      <c r="CQ83" s="66" t="s">
        <v>63</v>
      </c>
      <c r="CR83" s="66" t="s">
        <v>63</v>
      </c>
      <c r="CS83" s="66" t="s">
        <v>63</v>
      </c>
      <c r="CT83" s="67" t="s">
        <v>63</v>
      </c>
    </row>
    <row r="84" spans="7:98" x14ac:dyDescent="0.25">
      <c r="G84" s="28"/>
      <c r="H84" s="28"/>
      <c r="I84" s="28"/>
    </row>
    <row r="85" spans="7:98" x14ac:dyDescent="0.25">
      <c r="G85" s="28"/>
    </row>
    <row r="86" spans="7:98" x14ac:dyDescent="0.25">
      <c r="G86" s="28"/>
    </row>
    <row r="87" spans="7:98" ht="15.75" thickBot="1" x14ac:dyDescent="0.3"/>
    <row r="88" spans="7:98" ht="15" customHeight="1" x14ac:dyDescent="0.25">
      <c r="K88" s="90" t="s">
        <v>60</v>
      </c>
      <c r="L88" s="87">
        <v>60</v>
      </c>
      <c r="N88" s="118" t="s">
        <v>70</v>
      </c>
      <c r="O88" s="153" t="s">
        <v>67</v>
      </c>
      <c r="P88" s="121" t="s">
        <v>54</v>
      </c>
      <c r="Q88" s="56" t="s">
        <v>56</v>
      </c>
      <c r="R88" s="124">
        <v>0</v>
      </c>
      <c r="S88" s="39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4">
        <v>0</v>
      </c>
      <c r="AJ88" s="34">
        <v>0</v>
      </c>
      <c r="AK88" s="34">
        <v>0</v>
      </c>
      <c r="AL88" s="34">
        <v>0</v>
      </c>
      <c r="AM88" s="34">
        <v>0</v>
      </c>
      <c r="AN88" s="34">
        <v>0</v>
      </c>
      <c r="AO88" s="34">
        <v>0</v>
      </c>
      <c r="AP88" s="34">
        <v>0</v>
      </c>
      <c r="AQ88" s="34">
        <v>0</v>
      </c>
      <c r="AR88" s="34">
        <v>0</v>
      </c>
      <c r="AS88" s="34">
        <v>0</v>
      </c>
      <c r="AT88" s="34">
        <v>0</v>
      </c>
      <c r="AU88" s="34">
        <v>0</v>
      </c>
      <c r="AV88" s="34">
        <v>0</v>
      </c>
      <c r="AW88" s="34">
        <v>0</v>
      </c>
      <c r="AX88" s="34">
        <v>0</v>
      </c>
      <c r="AY88" s="34">
        <v>0</v>
      </c>
      <c r="AZ88" s="34">
        <v>0</v>
      </c>
      <c r="BA88" s="34">
        <v>0</v>
      </c>
      <c r="BB88" s="34">
        <v>0</v>
      </c>
      <c r="BC88" s="34">
        <v>0</v>
      </c>
      <c r="BD88" s="34">
        <v>0</v>
      </c>
      <c r="BE88" s="34">
        <v>0</v>
      </c>
      <c r="BF88" s="34">
        <v>0</v>
      </c>
      <c r="BG88" s="34">
        <v>0</v>
      </c>
      <c r="BH88" s="34">
        <v>0</v>
      </c>
      <c r="BI88" s="34">
        <v>0</v>
      </c>
      <c r="BJ88" s="34">
        <v>0</v>
      </c>
      <c r="BK88" s="34">
        <v>0</v>
      </c>
      <c r="BL88" s="34">
        <v>0</v>
      </c>
      <c r="BM88" s="34">
        <v>0</v>
      </c>
      <c r="BN88" s="34">
        <v>0</v>
      </c>
      <c r="BO88" s="34">
        <v>0</v>
      </c>
      <c r="BP88" s="74">
        <v>2</v>
      </c>
      <c r="BQ88" s="34">
        <v>0</v>
      </c>
      <c r="BR88" s="34">
        <v>0</v>
      </c>
      <c r="BS88" s="34">
        <v>0</v>
      </c>
      <c r="BT88" s="34">
        <v>0</v>
      </c>
      <c r="BU88" s="34">
        <v>0</v>
      </c>
      <c r="BV88" s="34">
        <v>0</v>
      </c>
      <c r="BW88" s="34">
        <v>0</v>
      </c>
      <c r="BX88" s="34">
        <v>0</v>
      </c>
      <c r="BY88" s="34">
        <v>0</v>
      </c>
      <c r="BZ88" s="34">
        <v>0</v>
      </c>
      <c r="CA88" s="34">
        <v>0</v>
      </c>
      <c r="CB88" s="34">
        <v>0</v>
      </c>
      <c r="CC88" s="34">
        <v>0</v>
      </c>
      <c r="CD88" s="34">
        <v>0</v>
      </c>
      <c r="CE88" s="34">
        <v>0</v>
      </c>
      <c r="CF88" s="34">
        <v>0</v>
      </c>
      <c r="CG88" s="34">
        <v>0</v>
      </c>
      <c r="CH88" s="34">
        <v>0</v>
      </c>
      <c r="CI88" s="34">
        <v>0</v>
      </c>
      <c r="CJ88" s="34">
        <v>0</v>
      </c>
      <c r="CK88" s="34">
        <v>0</v>
      </c>
      <c r="CL88" s="34">
        <v>0</v>
      </c>
      <c r="CM88" s="34">
        <v>0</v>
      </c>
      <c r="CN88" s="34">
        <v>0</v>
      </c>
      <c r="CO88" s="34">
        <v>0</v>
      </c>
      <c r="CP88" s="34">
        <v>0</v>
      </c>
      <c r="CQ88" s="34">
        <v>0</v>
      </c>
      <c r="CR88" s="34">
        <v>0</v>
      </c>
      <c r="CS88" s="34">
        <v>0</v>
      </c>
      <c r="CT88" s="35">
        <v>0</v>
      </c>
    </row>
    <row r="89" spans="7:98" x14ac:dyDescent="0.25">
      <c r="K89" s="91" t="s">
        <v>61</v>
      </c>
      <c r="L89" s="111">
        <v>-10</v>
      </c>
      <c r="N89" s="119"/>
      <c r="O89" s="154"/>
      <c r="P89" s="122"/>
      <c r="Q89" s="57" t="s">
        <v>57</v>
      </c>
      <c r="R89" s="125"/>
      <c r="S89" s="63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79">
        <v>1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0</v>
      </c>
      <c r="CL89" s="30">
        <v>0</v>
      </c>
      <c r="CM89" s="30">
        <v>0</v>
      </c>
      <c r="CN89" s="30">
        <v>0</v>
      </c>
      <c r="CO89" s="30">
        <v>0</v>
      </c>
      <c r="CP89" s="30">
        <v>0</v>
      </c>
      <c r="CQ89" s="30">
        <v>0</v>
      </c>
      <c r="CR89" s="30">
        <v>0</v>
      </c>
      <c r="CS89" s="30">
        <v>0</v>
      </c>
      <c r="CT89" s="64">
        <v>0</v>
      </c>
    </row>
    <row r="90" spans="7:98" ht="15.75" thickBot="1" x14ac:dyDescent="0.3">
      <c r="K90" s="92" t="s">
        <v>62</v>
      </c>
      <c r="L90" s="89" t="s">
        <v>11</v>
      </c>
      <c r="N90" s="119"/>
      <c r="O90" s="154"/>
      <c r="P90" s="122"/>
      <c r="Q90" s="29" t="s">
        <v>59</v>
      </c>
      <c r="R90" s="126">
        <v>10</v>
      </c>
      <c r="S90" s="112">
        <v>11</v>
      </c>
      <c r="T90" s="68">
        <v>12</v>
      </c>
      <c r="U90" s="68">
        <v>13</v>
      </c>
      <c r="V90" s="68">
        <v>14</v>
      </c>
      <c r="W90" s="68">
        <v>15</v>
      </c>
      <c r="X90" s="68">
        <v>16</v>
      </c>
      <c r="Y90" s="68">
        <v>17</v>
      </c>
      <c r="Z90" s="68">
        <v>18</v>
      </c>
      <c r="AA90" s="68">
        <v>19</v>
      </c>
      <c r="AB90" s="68">
        <v>20</v>
      </c>
      <c r="AC90" s="68">
        <v>21</v>
      </c>
      <c r="AD90" s="68">
        <v>22</v>
      </c>
      <c r="AE90" s="68">
        <v>23</v>
      </c>
      <c r="AF90" s="68">
        <v>24</v>
      </c>
      <c r="AG90" s="68">
        <v>25</v>
      </c>
      <c r="AH90" s="68">
        <v>26</v>
      </c>
      <c r="AI90" s="68">
        <v>27</v>
      </c>
      <c r="AJ90" s="68">
        <v>28</v>
      </c>
      <c r="AK90" s="68">
        <v>29</v>
      </c>
      <c r="AL90" s="68">
        <v>30</v>
      </c>
      <c r="AM90" s="68">
        <v>31</v>
      </c>
      <c r="AN90" s="68">
        <v>32</v>
      </c>
      <c r="AO90" s="68">
        <v>33</v>
      </c>
      <c r="AP90" s="68">
        <v>34</v>
      </c>
      <c r="AQ90" s="68">
        <v>35</v>
      </c>
      <c r="AR90" s="68">
        <v>36</v>
      </c>
      <c r="AS90" s="68">
        <v>37</v>
      </c>
      <c r="AT90" s="68">
        <v>38</v>
      </c>
      <c r="AU90" s="68">
        <v>39</v>
      </c>
      <c r="AV90" s="68">
        <v>40</v>
      </c>
      <c r="AW90" s="68">
        <v>41</v>
      </c>
      <c r="AX90" s="68">
        <v>42</v>
      </c>
      <c r="AY90" s="68">
        <v>43</v>
      </c>
      <c r="AZ90" s="68">
        <v>44</v>
      </c>
      <c r="BA90" s="68">
        <v>45</v>
      </c>
      <c r="BB90" s="68">
        <v>46</v>
      </c>
      <c r="BC90" s="68">
        <v>47</v>
      </c>
      <c r="BD90" s="68">
        <v>48</v>
      </c>
      <c r="BE90" s="68">
        <v>49</v>
      </c>
      <c r="BF90" s="68">
        <v>50</v>
      </c>
      <c r="BG90" s="68">
        <v>51</v>
      </c>
      <c r="BH90" s="68">
        <v>52</v>
      </c>
      <c r="BI90" s="68">
        <v>53</v>
      </c>
      <c r="BJ90" s="68">
        <v>54</v>
      </c>
      <c r="BK90" s="68">
        <v>55</v>
      </c>
      <c r="BL90" s="68">
        <v>56</v>
      </c>
      <c r="BM90" s="68">
        <v>57</v>
      </c>
      <c r="BN90" s="68">
        <v>58</v>
      </c>
      <c r="BO90" s="68">
        <v>59</v>
      </c>
      <c r="BP90" s="68">
        <v>60</v>
      </c>
      <c r="BQ90" s="73">
        <v>1</v>
      </c>
      <c r="BR90" s="68">
        <v>2</v>
      </c>
      <c r="BS90" s="68">
        <v>3</v>
      </c>
      <c r="BT90" s="68">
        <v>3</v>
      </c>
      <c r="BU90" s="68">
        <v>3</v>
      </c>
      <c r="BV90" s="68">
        <v>3</v>
      </c>
      <c r="BW90" s="68">
        <v>3</v>
      </c>
      <c r="BX90" s="68">
        <v>3</v>
      </c>
      <c r="BY90" s="68">
        <v>3</v>
      </c>
      <c r="BZ90" s="68">
        <v>3</v>
      </c>
      <c r="CA90" s="68">
        <v>3</v>
      </c>
      <c r="CB90" s="68">
        <v>3</v>
      </c>
      <c r="CC90" s="68">
        <v>3</v>
      </c>
      <c r="CD90" s="68">
        <v>3</v>
      </c>
      <c r="CE90" s="68">
        <v>3</v>
      </c>
      <c r="CF90" s="68">
        <v>3</v>
      </c>
      <c r="CG90" s="68">
        <v>3</v>
      </c>
      <c r="CH90" s="68">
        <v>3</v>
      </c>
      <c r="CI90" s="68">
        <v>3</v>
      </c>
      <c r="CJ90" s="68">
        <v>3</v>
      </c>
      <c r="CK90" s="68">
        <v>3</v>
      </c>
      <c r="CL90" s="68">
        <v>3</v>
      </c>
      <c r="CM90" s="68">
        <v>3</v>
      </c>
      <c r="CN90" s="68">
        <v>3</v>
      </c>
      <c r="CO90" s="68">
        <v>3</v>
      </c>
      <c r="CP90" s="68">
        <v>3</v>
      </c>
      <c r="CQ90" s="68">
        <v>3</v>
      </c>
      <c r="CR90" s="68">
        <v>3</v>
      </c>
      <c r="CS90" s="68">
        <v>3</v>
      </c>
      <c r="CT90" s="69">
        <v>3</v>
      </c>
    </row>
    <row r="91" spans="7:98" ht="15.75" thickBot="1" x14ac:dyDescent="0.3">
      <c r="K91" s="24"/>
      <c r="N91" s="119"/>
      <c r="O91" s="154"/>
      <c r="P91" s="123"/>
      <c r="Q91" s="70" t="s">
        <v>58</v>
      </c>
      <c r="R91" s="127"/>
      <c r="S91" s="113">
        <v>9</v>
      </c>
      <c r="T91" s="75">
        <v>8</v>
      </c>
      <c r="U91" s="75">
        <v>7</v>
      </c>
      <c r="V91" s="75">
        <v>6</v>
      </c>
      <c r="W91" s="75">
        <v>5</v>
      </c>
      <c r="X91" s="75">
        <v>4</v>
      </c>
      <c r="Y91" s="75">
        <v>3</v>
      </c>
      <c r="Z91" s="75">
        <v>2</v>
      </c>
      <c r="AA91" s="80">
        <v>1</v>
      </c>
      <c r="AB91" s="66">
        <v>0</v>
      </c>
      <c r="AC91" s="66">
        <v>0</v>
      </c>
      <c r="AD91" s="66">
        <v>0</v>
      </c>
      <c r="AE91" s="66">
        <v>0</v>
      </c>
      <c r="AF91" s="66">
        <v>0</v>
      </c>
      <c r="AG91" s="66">
        <v>0</v>
      </c>
      <c r="AH91" s="66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6">
        <v>0</v>
      </c>
      <c r="AU91" s="66">
        <v>0</v>
      </c>
      <c r="AV91" s="66">
        <v>0</v>
      </c>
      <c r="AW91" s="66">
        <v>0</v>
      </c>
      <c r="AX91" s="66">
        <v>0</v>
      </c>
      <c r="AY91" s="66">
        <v>0</v>
      </c>
      <c r="AZ91" s="66">
        <v>0</v>
      </c>
      <c r="BA91" s="66">
        <v>0</v>
      </c>
      <c r="BB91" s="66">
        <v>0</v>
      </c>
      <c r="BC91" s="66">
        <v>0</v>
      </c>
      <c r="BD91" s="66">
        <v>0</v>
      </c>
      <c r="BE91" s="66">
        <v>0</v>
      </c>
      <c r="BF91" s="66">
        <v>0</v>
      </c>
      <c r="BG91" s="66">
        <v>0</v>
      </c>
      <c r="BH91" s="66">
        <v>0</v>
      </c>
      <c r="BI91" s="66">
        <v>0</v>
      </c>
      <c r="BJ91" s="66">
        <v>0</v>
      </c>
      <c r="BK91" s="66">
        <v>0</v>
      </c>
      <c r="BL91" s="66">
        <v>0</v>
      </c>
      <c r="BM91" s="66">
        <v>0</v>
      </c>
      <c r="BN91" s="66">
        <v>0</v>
      </c>
      <c r="BO91" s="66">
        <v>0</v>
      </c>
      <c r="BP91" s="66">
        <v>0</v>
      </c>
      <c r="BQ91" s="66">
        <v>0</v>
      </c>
      <c r="BR91" s="66">
        <v>0</v>
      </c>
      <c r="BS91" s="66">
        <v>0</v>
      </c>
      <c r="BT91" s="66">
        <v>0</v>
      </c>
      <c r="BU91" s="66">
        <v>0</v>
      </c>
      <c r="BV91" s="66">
        <v>0</v>
      </c>
      <c r="BW91" s="66">
        <v>0</v>
      </c>
      <c r="BX91" s="66">
        <v>0</v>
      </c>
      <c r="BY91" s="66">
        <v>0</v>
      </c>
      <c r="BZ91" s="66">
        <v>0</v>
      </c>
      <c r="CA91" s="66">
        <v>0</v>
      </c>
      <c r="CB91" s="66">
        <v>0</v>
      </c>
      <c r="CC91" s="66">
        <v>0</v>
      </c>
      <c r="CD91" s="66">
        <v>0</v>
      </c>
      <c r="CE91" s="66">
        <v>0</v>
      </c>
      <c r="CF91" s="66">
        <v>0</v>
      </c>
      <c r="CG91" s="66">
        <v>0</v>
      </c>
      <c r="CH91" s="66">
        <v>0</v>
      </c>
      <c r="CI91" s="66">
        <v>0</v>
      </c>
      <c r="CJ91" s="66">
        <v>0</v>
      </c>
      <c r="CK91" s="66">
        <v>0</v>
      </c>
      <c r="CL91" s="66">
        <v>0</v>
      </c>
      <c r="CM91" s="66">
        <v>0</v>
      </c>
      <c r="CN91" s="66">
        <v>0</v>
      </c>
      <c r="CO91" s="66">
        <v>0</v>
      </c>
      <c r="CP91" s="66">
        <v>0</v>
      </c>
      <c r="CQ91" s="66">
        <v>0</v>
      </c>
      <c r="CR91" s="66">
        <v>0</v>
      </c>
      <c r="CS91" s="66">
        <v>0</v>
      </c>
      <c r="CT91" s="67">
        <v>0</v>
      </c>
    </row>
    <row r="92" spans="7:98" x14ac:dyDescent="0.25">
      <c r="K92" s="93" t="s">
        <v>60</v>
      </c>
      <c r="L92" s="8">
        <v>40</v>
      </c>
      <c r="N92" s="119"/>
      <c r="O92" s="154"/>
      <c r="P92" s="128" t="s">
        <v>55</v>
      </c>
      <c r="Q92" s="56" t="s">
        <v>56</v>
      </c>
      <c r="R92" s="124">
        <v>0</v>
      </c>
      <c r="S92" s="63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78">
        <v>2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30">
        <v>0</v>
      </c>
      <c r="CL92" s="30">
        <v>0</v>
      </c>
      <c r="CM92" s="30">
        <v>0</v>
      </c>
      <c r="CN92" s="30">
        <v>0</v>
      </c>
      <c r="CO92" s="30">
        <v>0</v>
      </c>
      <c r="CP92" s="30">
        <v>0</v>
      </c>
      <c r="CQ92" s="30">
        <v>0</v>
      </c>
      <c r="CR92" s="30">
        <v>0</v>
      </c>
      <c r="CS92" s="30">
        <v>0</v>
      </c>
      <c r="CT92" s="64">
        <v>0</v>
      </c>
    </row>
    <row r="93" spans="7:98" x14ac:dyDescent="0.25">
      <c r="K93" s="94" t="s">
        <v>61</v>
      </c>
      <c r="L93" s="96">
        <v>-25</v>
      </c>
      <c r="N93" s="119"/>
      <c r="O93" s="154"/>
      <c r="P93" s="129"/>
      <c r="Q93" s="57" t="s">
        <v>57</v>
      </c>
      <c r="R93" s="125"/>
      <c r="S93" s="63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79">
        <v>1</v>
      </c>
      <c r="AR93" s="30" t="s">
        <v>63</v>
      </c>
      <c r="AS93" s="30" t="s">
        <v>63</v>
      </c>
      <c r="AT93" s="30" t="s">
        <v>63</v>
      </c>
      <c r="AU93" s="30" t="s">
        <v>63</v>
      </c>
      <c r="AV93" s="30" t="s">
        <v>63</v>
      </c>
      <c r="AW93" s="30" t="s">
        <v>63</v>
      </c>
      <c r="AX93" s="30" t="s">
        <v>63</v>
      </c>
      <c r="AY93" s="30" t="s">
        <v>63</v>
      </c>
      <c r="AZ93" s="30" t="s">
        <v>63</v>
      </c>
      <c r="BA93" s="30" t="s">
        <v>63</v>
      </c>
      <c r="BB93" s="30" t="s">
        <v>63</v>
      </c>
      <c r="BC93" s="30" t="s">
        <v>63</v>
      </c>
      <c r="BD93" s="30" t="s">
        <v>63</v>
      </c>
      <c r="BE93" s="30" t="s">
        <v>63</v>
      </c>
      <c r="BF93" s="30" t="s">
        <v>63</v>
      </c>
      <c r="BG93" s="30" t="s">
        <v>63</v>
      </c>
      <c r="BH93" s="30" t="s">
        <v>63</v>
      </c>
      <c r="BI93" s="30" t="s">
        <v>63</v>
      </c>
      <c r="BJ93" s="30" t="s">
        <v>63</v>
      </c>
      <c r="BK93" s="30" t="s">
        <v>63</v>
      </c>
      <c r="BL93" s="30" t="s">
        <v>63</v>
      </c>
      <c r="BM93" s="30" t="s">
        <v>63</v>
      </c>
      <c r="BN93" s="30" t="s">
        <v>63</v>
      </c>
      <c r="BO93" s="30" t="s">
        <v>63</v>
      </c>
      <c r="BP93" s="30" t="s">
        <v>63</v>
      </c>
      <c r="BQ93" s="30" t="s">
        <v>63</v>
      </c>
      <c r="BR93" s="30" t="s">
        <v>63</v>
      </c>
      <c r="BS93" s="30" t="s">
        <v>63</v>
      </c>
      <c r="BT93" s="30" t="s">
        <v>63</v>
      </c>
      <c r="BU93" s="30" t="s">
        <v>63</v>
      </c>
      <c r="BV93" s="30" t="s">
        <v>63</v>
      </c>
      <c r="BW93" s="30" t="s">
        <v>63</v>
      </c>
      <c r="BX93" s="30" t="s">
        <v>63</v>
      </c>
      <c r="BY93" s="30" t="s">
        <v>63</v>
      </c>
      <c r="BZ93" s="30" t="s">
        <v>63</v>
      </c>
      <c r="CA93" s="30" t="s">
        <v>63</v>
      </c>
      <c r="CB93" s="30" t="s">
        <v>63</v>
      </c>
      <c r="CC93" s="30" t="s">
        <v>63</v>
      </c>
      <c r="CD93" s="30" t="s">
        <v>63</v>
      </c>
      <c r="CE93" s="30" t="s">
        <v>63</v>
      </c>
      <c r="CF93" s="30" t="s">
        <v>63</v>
      </c>
      <c r="CG93" s="30" t="s">
        <v>63</v>
      </c>
      <c r="CH93" s="30" t="s">
        <v>63</v>
      </c>
      <c r="CI93" s="30" t="s">
        <v>63</v>
      </c>
      <c r="CJ93" s="30" t="s">
        <v>63</v>
      </c>
      <c r="CK93" s="30" t="s">
        <v>63</v>
      </c>
      <c r="CL93" s="30" t="s">
        <v>63</v>
      </c>
      <c r="CM93" s="30" t="s">
        <v>63</v>
      </c>
      <c r="CN93" s="30" t="s">
        <v>63</v>
      </c>
      <c r="CO93" s="30" t="s">
        <v>63</v>
      </c>
      <c r="CP93" s="30" t="s">
        <v>63</v>
      </c>
      <c r="CQ93" s="30" t="s">
        <v>63</v>
      </c>
      <c r="CR93" s="30" t="s">
        <v>63</v>
      </c>
      <c r="CS93" s="30" t="s">
        <v>63</v>
      </c>
      <c r="CT93" s="64" t="s">
        <v>63</v>
      </c>
    </row>
    <row r="94" spans="7:98" ht="15.75" thickBot="1" x14ac:dyDescent="0.3">
      <c r="K94" s="95" t="s">
        <v>62</v>
      </c>
      <c r="L94" s="97">
        <v>2</v>
      </c>
      <c r="N94" s="119"/>
      <c r="O94" s="154"/>
      <c r="P94" s="129"/>
      <c r="Q94" s="29" t="s">
        <v>59</v>
      </c>
      <c r="R94" s="126">
        <v>25</v>
      </c>
      <c r="S94" s="77">
        <v>26</v>
      </c>
      <c r="T94" s="77">
        <v>27</v>
      </c>
      <c r="U94" s="77">
        <v>28</v>
      </c>
      <c r="V94" s="77">
        <v>29</v>
      </c>
      <c r="W94" s="77">
        <v>30</v>
      </c>
      <c r="X94" s="77">
        <v>31</v>
      </c>
      <c r="Y94" s="77">
        <v>32</v>
      </c>
      <c r="Z94" s="77">
        <v>33</v>
      </c>
      <c r="AA94" s="77">
        <v>34</v>
      </c>
      <c r="AB94" s="77">
        <v>35</v>
      </c>
      <c r="AC94" s="77">
        <v>36</v>
      </c>
      <c r="AD94" s="77">
        <v>37</v>
      </c>
      <c r="AE94" s="77">
        <v>38</v>
      </c>
      <c r="AF94" s="77">
        <v>39</v>
      </c>
      <c r="AG94" s="77">
        <v>40</v>
      </c>
      <c r="AH94" s="78">
        <v>1</v>
      </c>
      <c r="AI94" s="77">
        <v>2</v>
      </c>
      <c r="AJ94" s="77">
        <v>3</v>
      </c>
      <c r="AK94" s="77">
        <v>4</v>
      </c>
      <c r="AL94" s="77">
        <v>5</v>
      </c>
      <c r="AM94" s="77">
        <v>6</v>
      </c>
      <c r="AN94" s="77">
        <v>7</v>
      </c>
      <c r="AO94" s="77">
        <v>8</v>
      </c>
      <c r="AP94" s="77">
        <v>9</v>
      </c>
      <c r="AQ94" s="77">
        <v>10</v>
      </c>
      <c r="AR94" s="77">
        <v>11</v>
      </c>
      <c r="AS94" s="77">
        <v>12</v>
      </c>
      <c r="AT94" s="77">
        <v>13</v>
      </c>
      <c r="AU94" s="77">
        <v>14</v>
      </c>
      <c r="AV94" s="77">
        <v>15</v>
      </c>
      <c r="AW94" s="77">
        <v>16</v>
      </c>
      <c r="AX94" s="77">
        <v>17</v>
      </c>
      <c r="AY94" s="77">
        <v>18</v>
      </c>
      <c r="AZ94" s="77">
        <v>19</v>
      </c>
      <c r="BA94" s="77">
        <v>20</v>
      </c>
      <c r="BB94" s="77">
        <v>21</v>
      </c>
      <c r="BC94" s="77">
        <v>22</v>
      </c>
      <c r="BD94" s="77">
        <v>23</v>
      </c>
      <c r="BE94" s="77">
        <v>24</v>
      </c>
      <c r="BF94" s="77">
        <v>25</v>
      </c>
      <c r="BG94" s="77">
        <v>26</v>
      </c>
      <c r="BH94" s="77">
        <v>27</v>
      </c>
      <c r="BI94" s="77">
        <v>28</v>
      </c>
      <c r="BJ94" s="77">
        <v>29</v>
      </c>
      <c r="BK94" s="77">
        <v>30</v>
      </c>
      <c r="BL94" s="77">
        <v>31</v>
      </c>
      <c r="BM94" s="77">
        <v>32</v>
      </c>
      <c r="BN94" s="77">
        <v>33</v>
      </c>
      <c r="BO94" s="77">
        <v>34</v>
      </c>
      <c r="BP94" s="77">
        <v>35</v>
      </c>
      <c r="BQ94" s="77">
        <v>36</v>
      </c>
      <c r="BR94" s="77">
        <v>37</v>
      </c>
      <c r="BS94" s="77">
        <v>38</v>
      </c>
      <c r="BT94" s="77">
        <v>39</v>
      </c>
      <c r="BU94" s="77">
        <v>40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0</v>
      </c>
      <c r="CL94" s="30">
        <v>0</v>
      </c>
      <c r="CM94" s="30">
        <v>0</v>
      </c>
      <c r="CN94" s="30">
        <v>0</v>
      </c>
      <c r="CO94" s="30">
        <v>0</v>
      </c>
      <c r="CP94" s="30">
        <v>0</v>
      </c>
      <c r="CQ94" s="30">
        <v>0</v>
      </c>
      <c r="CR94" s="30">
        <v>0</v>
      </c>
      <c r="CS94" s="30">
        <v>0</v>
      </c>
      <c r="CT94" s="64">
        <v>0</v>
      </c>
    </row>
    <row r="95" spans="7:98" ht="15.75" thickBot="1" x14ac:dyDescent="0.3">
      <c r="N95" s="120"/>
      <c r="O95" s="155"/>
      <c r="P95" s="130"/>
      <c r="Q95" s="70" t="s">
        <v>58</v>
      </c>
      <c r="R95" s="127"/>
      <c r="S95" s="75">
        <v>24</v>
      </c>
      <c r="T95" s="75">
        <v>23</v>
      </c>
      <c r="U95" s="75">
        <v>22</v>
      </c>
      <c r="V95" s="75">
        <v>21</v>
      </c>
      <c r="W95" s="75">
        <v>20</v>
      </c>
      <c r="X95" s="75">
        <v>19</v>
      </c>
      <c r="Y95" s="75">
        <v>18</v>
      </c>
      <c r="Z95" s="75">
        <v>17</v>
      </c>
      <c r="AA95" s="75">
        <v>16</v>
      </c>
      <c r="AB95" s="75">
        <v>15</v>
      </c>
      <c r="AC95" s="75">
        <v>14</v>
      </c>
      <c r="AD95" s="75">
        <v>13</v>
      </c>
      <c r="AE95" s="75">
        <v>12</v>
      </c>
      <c r="AF95" s="75">
        <v>11</v>
      </c>
      <c r="AG95" s="75">
        <v>10</v>
      </c>
      <c r="AH95" s="75">
        <v>9</v>
      </c>
      <c r="AI95" s="75">
        <v>8</v>
      </c>
      <c r="AJ95" s="75">
        <v>7</v>
      </c>
      <c r="AK95" s="75">
        <v>6</v>
      </c>
      <c r="AL95" s="75">
        <v>5</v>
      </c>
      <c r="AM95" s="75">
        <v>4</v>
      </c>
      <c r="AN95" s="75">
        <v>3</v>
      </c>
      <c r="AO95" s="75">
        <v>2</v>
      </c>
      <c r="AP95" s="80">
        <v>1</v>
      </c>
      <c r="AQ95" s="66" t="s">
        <v>63</v>
      </c>
      <c r="AR95" s="66" t="s">
        <v>63</v>
      </c>
      <c r="AS95" s="66" t="s">
        <v>63</v>
      </c>
      <c r="AT95" s="66" t="s">
        <v>63</v>
      </c>
      <c r="AU95" s="66" t="s">
        <v>63</v>
      </c>
      <c r="AV95" s="66" t="s">
        <v>63</v>
      </c>
      <c r="AW95" s="66" t="s">
        <v>63</v>
      </c>
      <c r="AX95" s="66" t="s">
        <v>63</v>
      </c>
      <c r="AY95" s="66" t="s">
        <v>63</v>
      </c>
      <c r="AZ95" s="66" t="s">
        <v>63</v>
      </c>
      <c r="BA95" s="66" t="s">
        <v>63</v>
      </c>
      <c r="BB95" s="66" t="s">
        <v>63</v>
      </c>
      <c r="BC95" s="66" t="s">
        <v>63</v>
      </c>
      <c r="BD95" s="66" t="s">
        <v>63</v>
      </c>
      <c r="BE95" s="66" t="s">
        <v>63</v>
      </c>
      <c r="BF95" s="66" t="s">
        <v>63</v>
      </c>
      <c r="BG95" s="66" t="s">
        <v>63</v>
      </c>
      <c r="BH95" s="66" t="s">
        <v>63</v>
      </c>
      <c r="BI95" s="66" t="s">
        <v>63</v>
      </c>
      <c r="BJ95" s="66" t="s">
        <v>63</v>
      </c>
      <c r="BK95" s="66" t="s">
        <v>63</v>
      </c>
      <c r="BL95" s="66" t="s">
        <v>63</v>
      </c>
      <c r="BM95" s="66" t="s">
        <v>63</v>
      </c>
      <c r="BN95" s="66" t="s">
        <v>63</v>
      </c>
      <c r="BO95" s="66" t="s">
        <v>63</v>
      </c>
      <c r="BP95" s="66" t="s">
        <v>63</v>
      </c>
      <c r="BQ95" s="66" t="s">
        <v>63</v>
      </c>
      <c r="BR95" s="66" t="s">
        <v>63</v>
      </c>
      <c r="BS95" s="66" t="s">
        <v>63</v>
      </c>
      <c r="BT95" s="66" t="s">
        <v>63</v>
      </c>
      <c r="BU95" s="66" t="s">
        <v>63</v>
      </c>
      <c r="BV95" s="66" t="s">
        <v>63</v>
      </c>
      <c r="BW95" s="66" t="s">
        <v>63</v>
      </c>
      <c r="BX95" s="66" t="s">
        <v>63</v>
      </c>
      <c r="BY95" s="66" t="s">
        <v>63</v>
      </c>
      <c r="BZ95" s="66" t="s">
        <v>63</v>
      </c>
      <c r="CA95" s="66" t="s">
        <v>63</v>
      </c>
      <c r="CB95" s="66" t="s">
        <v>63</v>
      </c>
      <c r="CC95" s="66" t="s">
        <v>63</v>
      </c>
      <c r="CD95" s="66" t="s">
        <v>63</v>
      </c>
      <c r="CE95" s="66" t="s">
        <v>63</v>
      </c>
      <c r="CF95" s="66" t="s">
        <v>63</v>
      </c>
      <c r="CG95" s="66" t="s">
        <v>63</v>
      </c>
      <c r="CH95" s="66" t="s">
        <v>63</v>
      </c>
      <c r="CI95" s="66" t="s">
        <v>63</v>
      </c>
      <c r="CJ95" s="66" t="s">
        <v>63</v>
      </c>
      <c r="CK95" s="66" t="s">
        <v>63</v>
      </c>
      <c r="CL95" s="66" t="s">
        <v>63</v>
      </c>
      <c r="CM95" s="66" t="s">
        <v>63</v>
      </c>
      <c r="CN95" s="66" t="s">
        <v>63</v>
      </c>
      <c r="CO95" s="66" t="s">
        <v>63</v>
      </c>
      <c r="CP95" s="66" t="s">
        <v>63</v>
      </c>
      <c r="CQ95" s="66" t="s">
        <v>63</v>
      </c>
      <c r="CR95" s="66" t="s">
        <v>63</v>
      </c>
      <c r="CS95" s="66" t="s">
        <v>63</v>
      </c>
      <c r="CT95" s="67" t="s">
        <v>63</v>
      </c>
    </row>
    <row r="99" spans="18:18" x14ac:dyDescent="0.25">
      <c r="R99" t="s">
        <v>72</v>
      </c>
    </row>
  </sheetData>
  <mergeCells count="54">
    <mergeCell ref="N76:N83"/>
    <mergeCell ref="O88:O95"/>
    <mergeCell ref="N15:N22"/>
    <mergeCell ref="CX10:CX13"/>
    <mergeCell ref="CY10:CY13"/>
    <mergeCell ref="O15:O22"/>
    <mergeCell ref="O27:O34"/>
    <mergeCell ref="CX29:CX34"/>
    <mergeCell ref="CW17:CW18"/>
    <mergeCell ref="CW21:CW22"/>
    <mergeCell ref="CX17:CX22"/>
    <mergeCell ref="CY17:CY22"/>
    <mergeCell ref="CW29:CW30"/>
    <mergeCell ref="CW33:CW34"/>
    <mergeCell ref="P39:P42"/>
    <mergeCell ref="P43:P46"/>
    <mergeCell ref="P64:P67"/>
    <mergeCell ref="I27:I33"/>
    <mergeCell ref="O64:O71"/>
    <mergeCell ref="N64:N71"/>
    <mergeCell ref="N39:N46"/>
    <mergeCell ref="O39:O46"/>
    <mergeCell ref="I39:I45"/>
    <mergeCell ref="J58:V59"/>
    <mergeCell ref="N27:N34"/>
    <mergeCell ref="R68:R69"/>
    <mergeCell ref="CY29:CY34"/>
    <mergeCell ref="CV10:CV13"/>
    <mergeCell ref="CW10:CW13"/>
    <mergeCell ref="P15:P18"/>
    <mergeCell ref="P19:P22"/>
    <mergeCell ref="P27:P30"/>
    <mergeCell ref="P31:P34"/>
    <mergeCell ref="R66:R67"/>
    <mergeCell ref="P80:P83"/>
    <mergeCell ref="P68:P71"/>
    <mergeCell ref="P76:P79"/>
    <mergeCell ref="R70:R71"/>
    <mergeCell ref="R78:R79"/>
    <mergeCell ref="R76:R77"/>
    <mergeCell ref="R80:R81"/>
    <mergeCell ref="R82:R83"/>
    <mergeCell ref="CW41:CW42"/>
    <mergeCell ref="CX41:CX46"/>
    <mergeCell ref="CY41:CY46"/>
    <mergeCell ref="CW45:CW46"/>
    <mergeCell ref="R64:R65"/>
    <mergeCell ref="N88:N95"/>
    <mergeCell ref="P88:P91"/>
    <mergeCell ref="R88:R89"/>
    <mergeCell ref="R90:R91"/>
    <mergeCell ref="P92:P95"/>
    <mergeCell ref="R92:R93"/>
    <mergeCell ref="R94:R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Analyzing Negative Start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Soto Gonzalez</dc:creator>
  <cp:lastModifiedBy>Gabriel Jose Soto Gonzalez</cp:lastModifiedBy>
  <dcterms:created xsi:type="dcterms:W3CDTF">2025-03-27T15:55:11Z</dcterms:created>
  <dcterms:modified xsi:type="dcterms:W3CDTF">2025-04-07T18:02:50Z</dcterms:modified>
</cp:coreProperties>
</file>